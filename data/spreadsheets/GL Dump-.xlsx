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noj\Desktop\Output\"/>
    </mc:Choice>
  </mc:AlternateContent>
  <xr:revisionPtr revIDLastSave="0" documentId="13_ncr:1_{1E0968C2-9D33-47C6-BAE5-C3D510E356B4}" xr6:coauthVersionLast="47" xr6:coauthVersionMax="47" xr10:uidLastSave="{00000000-0000-0000-0000-000000000000}"/>
  <bookViews>
    <workbookView xWindow="8145" yWindow="3915" windowWidth="38700" windowHeight="15435" xr2:uid="{80F87A95-C65D-49BC-8C53-CAADDCE6E1EF}"/>
  </bookViews>
  <sheets>
    <sheet name="BBCustomGeneralLedgerV" sheetId="1" r:id="rId1"/>
    <sheet name="Input" sheetId="2" r:id="rId2"/>
    <sheet name="Output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460" i="1" l="1"/>
  <c r="L460" i="1"/>
  <c r="K460" i="1"/>
  <c r="M459" i="1"/>
  <c r="L455" i="1"/>
  <c r="L456" i="1" s="1"/>
  <c r="K455" i="1"/>
  <c r="K456" i="1" s="1"/>
  <c r="M432" i="1"/>
  <c r="M433" i="1" s="1"/>
  <c r="M434" i="1" s="1"/>
  <c r="M435" i="1" s="1"/>
  <c r="M436" i="1" s="1"/>
  <c r="M437" i="1" s="1"/>
  <c r="M438" i="1" s="1"/>
  <c r="M439" i="1" s="1"/>
  <c r="M440" i="1" s="1"/>
  <c r="M441" i="1" s="1"/>
  <c r="M442" i="1" s="1"/>
  <c r="M443" i="1" s="1"/>
  <c r="M444" i="1" s="1"/>
  <c r="M445" i="1" s="1"/>
  <c r="M446" i="1" s="1"/>
  <c r="M447" i="1" s="1"/>
  <c r="M448" i="1" s="1"/>
  <c r="M449" i="1" s="1"/>
  <c r="M450" i="1" s="1"/>
  <c r="M451" i="1" s="1"/>
  <c r="M452" i="1" s="1"/>
  <c r="M453" i="1" s="1"/>
  <c r="M454" i="1" s="1"/>
  <c r="M455" i="1" s="1"/>
  <c r="M456" i="1" s="1"/>
  <c r="M428" i="1" l="1"/>
  <c r="L428" i="1"/>
  <c r="K428" i="1"/>
  <c r="M426" i="1"/>
  <c r="L426" i="1"/>
  <c r="K426" i="1"/>
  <c r="L424" i="1"/>
  <c r="K424" i="1"/>
  <c r="M423" i="1"/>
  <c r="M424" i="1" s="1"/>
  <c r="M421" i="1"/>
  <c r="L421" i="1"/>
  <c r="K421" i="1"/>
  <c r="M419" i="1"/>
  <c r="L419" i="1"/>
  <c r="K419" i="1"/>
  <c r="M413" i="1"/>
  <c r="M414" i="1" s="1"/>
  <c r="M415" i="1" s="1"/>
  <c r="L413" i="1"/>
  <c r="L414" i="1" s="1"/>
  <c r="L415" i="1" s="1"/>
  <c r="K413" i="1"/>
  <c r="K414" i="1" s="1"/>
  <c r="K415" i="1" s="1"/>
  <c r="L407" i="1"/>
  <c r="L408" i="1" s="1"/>
  <c r="K407" i="1"/>
  <c r="K408" i="1" s="1"/>
  <c r="M406" i="1"/>
  <c r="L406" i="1"/>
  <c r="K406" i="1"/>
  <c r="L404" i="1"/>
  <c r="K404" i="1"/>
  <c r="M76" i="1"/>
  <c r="M77" i="1" s="1"/>
  <c r="M78" i="1" s="1"/>
  <c r="M79" i="1" s="1"/>
  <c r="M80" i="1" s="1"/>
  <c r="M81" i="1" s="1"/>
  <c r="M82" i="1" s="1"/>
  <c r="M83" i="1" s="1"/>
  <c r="M84" i="1" s="1"/>
  <c r="M85" i="1" s="1"/>
  <c r="M86" i="1" s="1"/>
  <c r="M87" i="1" s="1"/>
  <c r="M88" i="1" s="1"/>
  <c r="M89" i="1" s="1"/>
  <c r="M90" i="1" s="1"/>
  <c r="M91" i="1" s="1"/>
  <c r="M92" i="1" s="1"/>
  <c r="M93" i="1" s="1"/>
  <c r="M94" i="1" s="1"/>
  <c r="M95" i="1" s="1"/>
  <c r="M96" i="1" s="1"/>
  <c r="M97" i="1" s="1"/>
  <c r="M98" i="1" s="1"/>
  <c r="M99" i="1" s="1"/>
  <c r="M100" i="1" s="1"/>
  <c r="M101" i="1" s="1"/>
  <c r="M102" i="1" s="1"/>
  <c r="M103" i="1" s="1"/>
  <c r="M104" i="1" s="1"/>
  <c r="M105" i="1" s="1"/>
  <c r="M106" i="1" s="1"/>
  <c r="M107" i="1" s="1"/>
  <c r="M108" i="1" s="1"/>
  <c r="M109" i="1" s="1"/>
  <c r="M110" i="1" s="1"/>
  <c r="M111" i="1" s="1"/>
  <c r="M112" i="1" s="1"/>
  <c r="M113" i="1" s="1"/>
  <c r="M114" i="1" s="1"/>
  <c r="M115" i="1" s="1"/>
  <c r="M116" i="1" s="1"/>
  <c r="M117" i="1" s="1"/>
  <c r="M118" i="1" s="1"/>
  <c r="M119" i="1" s="1"/>
  <c r="M120" i="1" s="1"/>
  <c r="M121" i="1" s="1"/>
  <c r="M122" i="1" s="1"/>
  <c r="M123" i="1" s="1"/>
  <c r="M124" i="1" s="1"/>
  <c r="M125" i="1" s="1"/>
  <c r="M126" i="1" s="1"/>
  <c r="M127" i="1" s="1"/>
  <c r="M128" i="1" s="1"/>
  <c r="M129" i="1" s="1"/>
  <c r="M130" i="1" s="1"/>
  <c r="M131" i="1" s="1"/>
  <c r="M132" i="1" s="1"/>
  <c r="M133" i="1" s="1"/>
  <c r="M134" i="1" s="1"/>
  <c r="M135" i="1" s="1"/>
  <c r="M136" i="1" s="1"/>
  <c r="M137" i="1" s="1"/>
  <c r="M138" i="1" s="1"/>
  <c r="M139" i="1" s="1"/>
  <c r="M140" i="1" s="1"/>
  <c r="M141" i="1" s="1"/>
  <c r="M142" i="1" s="1"/>
  <c r="M143" i="1" s="1"/>
  <c r="M144" i="1" s="1"/>
  <c r="M145" i="1" s="1"/>
  <c r="M146" i="1" s="1"/>
  <c r="M147" i="1" s="1"/>
  <c r="M148" i="1" s="1"/>
  <c r="M149" i="1" s="1"/>
  <c r="M150" i="1" s="1"/>
  <c r="M151" i="1" s="1"/>
  <c r="M152" i="1" s="1"/>
  <c r="M153" i="1" s="1"/>
  <c r="M154" i="1" s="1"/>
  <c r="M155" i="1" s="1"/>
  <c r="M156" i="1" s="1"/>
  <c r="M157" i="1" s="1"/>
  <c r="M158" i="1" s="1"/>
  <c r="M159" i="1" s="1"/>
  <c r="M160" i="1" s="1"/>
  <c r="M161" i="1" s="1"/>
  <c r="M162" i="1" s="1"/>
  <c r="M163" i="1" s="1"/>
  <c r="M164" i="1" s="1"/>
  <c r="M165" i="1" s="1"/>
  <c r="M166" i="1" s="1"/>
  <c r="M167" i="1" s="1"/>
  <c r="M168" i="1" s="1"/>
  <c r="M169" i="1" s="1"/>
  <c r="M170" i="1" s="1"/>
  <c r="M171" i="1" s="1"/>
  <c r="M172" i="1" s="1"/>
  <c r="M173" i="1" s="1"/>
  <c r="M174" i="1" s="1"/>
  <c r="M175" i="1" s="1"/>
  <c r="M176" i="1" s="1"/>
  <c r="M177" i="1" s="1"/>
  <c r="M178" i="1" s="1"/>
  <c r="M179" i="1" s="1"/>
  <c r="M180" i="1" s="1"/>
  <c r="M181" i="1" s="1"/>
  <c r="M182" i="1" s="1"/>
  <c r="M183" i="1" s="1"/>
  <c r="M184" i="1" s="1"/>
  <c r="M185" i="1" s="1"/>
  <c r="M186" i="1" s="1"/>
  <c r="M187" i="1" s="1"/>
  <c r="M188" i="1" s="1"/>
  <c r="M189" i="1" s="1"/>
  <c r="M190" i="1" s="1"/>
  <c r="M191" i="1" s="1"/>
  <c r="M192" i="1" s="1"/>
  <c r="M193" i="1" s="1"/>
  <c r="M194" i="1" s="1"/>
  <c r="M195" i="1" s="1"/>
  <c r="M196" i="1" s="1"/>
  <c r="M197" i="1" s="1"/>
  <c r="M198" i="1" s="1"/>
  <c r="M199" i="1" s="1"/>
  <c r="M200" i="1" s="1"/>
  <c r="M201" i="1" s="1"/>
  <c r="M202" i="1" s="1"/>
  <c r="M203" i="1" s="1"/>
  <c r="M204" i="1" s="1"/>
  <c r="M205" i="1" s="1"/>
  <c r="M206" i="1" s="1"/>
  <c r="M207" i="1" s="1"/>
  <c r="M208" i="1" s="1"/>
  <c r="M209" i="1" s="1"/>
  <c r="M210" i="1" s="1"/>
  <c r="M211" i="1" s="1"/>
  <c r="M212" i="1" s="1"/>
  <c r="M213" i="1" s="1"/>
  <c r="M214" i="1" s="1"/>
  <c r="M215" i="1" s="1"/>
  <c r="M216" i="1" s="1"/>
  <c r="M217" i="1" s="1"/>
  <c r="M218" i="1" s="1"/>
  <c r="M219" i="1" s="1"/>
  <c r="M220" i="1" s="1"/>
  <c r="M221" i="1" s="1"/>
  <c r="M222" i="1" s="1"/>
  <c r="M223" i="1" s="1"/>
  <c r="M224" i="1" s="1"/>
  <c r="M225" i="1" s="1"/>
  <c r="M226" i="1" s="1"/>
  <c r="M227" i="1" s="1"/>
  <c r="M228" i="1" s="1"/>
  <c r="M229" i="1" s="1"/>
  <c r="M230" i="1" s="1"/>
  <c r="M231" i="1" s="1"/>
  <c r="M232" i="1" s="1"/>
  <c r="M233" i="1" s="1"/>
  <c r="M234" i="1" s="1"/>
  <c r="M235" i="1" s="1"/>
  <c r="M236" i="1" s="1"/>
  <c r="M237" i="1" s="1"/>
  <c r="M238" i="1" s="1"/>
  <c r="M239" i="1" s="1"/>
  <c r="M240" i="1" s="1"/>
  <c r="M241" i="1" s="1"/>
  <c r="M242" i="1" s="1"/>
  <c r="M243" i="1" s="1"/>
  <c r="M244" i="1" s="1"/>
  <c r="M245" i="1" s="1"/>
  <c r="M246" i="1" s="1"/>
  <c r="M247" i="1" s="1"/>
  <c r="M248" i="1" s="1"/>
  <c r="M249" i="1" s="1"/>
  <c r="M250" i="1" s="1"/>
  <c r="M251" i="1" s="1"/>
  <c r="M252" i="1" s="1"/>
  <c r="M253" i="1" s="1"/>
  <c r="M254" i="1" s="1"/>
  <c r="M255" i="1" s="1"/>
  <c r="M256" i="1" s="1"/>
  <c r="M257" i="1" s="1"/>
  <c r="M258" i="1" s="1"/>
  <c r="M259" i="1" s="1"/>
  <c r="M260" i="1" s="1"/>
  <c r="M261" i="1" s="1"/>
  <c r="M262" i="1" s="1"/>
  <c r="M263" i="1" s="1"/>
  <c r="M264" i="1" s="1"/>
  <c r="M265" i="1" s="1"/>
  <c r="M266" i="1" s="1"/>
  <c r="M267" i="1" s="1"/>
  <c r="M268" i="1" s="1"/>
  <c r="M269" i="1" s="1"/>
  <c r="M270" i="1" s="1"/>
  <c r="M271" i="1" s="1"/>
  <c r="M272" i="1" s="1"/>
  <c r="M273" i="1" s="1"/>
  <c r="M274" i="1" s="1"/>
  <c r="M275" i="1" s="1"/>
  <c r="M276" i="1" s="1"/>
  <c r="M277" i="1" s="1"/>
  <c r="M278" i="1" s="1"/>
  <c r="M279" i="1" s="1"/>
  <c r="M280" i="1" s="1"/>
  <c r="M281" i="1" s="1"/>
  <c r="M282" i="1" s="1"/>
  <c r="M283" i="1" s="1"/>
  <c r="M284" i="1" s="1"/>
  <c r="M285" i="1" s="1"/>
  <c r="M286" i="1" s="1"/>
  <c r="M287" i="1" s="1"/>
  <c r="M288" i="1" s="1"/>
  <c r="M289" i="1" s="1"/>
  <c r="M290" i="1" s="1"/>
  <c r="M291" i="1" s="1"/>
  <c r="M292" i="1" s="1"/>
  <c r="M293" i="1" s="1"/>
  <c r="M294" i="1" s="1"/>
  <c r="M295" i="1" s="1"/>
  <c r="M296" i="1" s="1"/>
  <c r="M297" i="1" s="1"/>
  <c r="M298" i="1" s="1"/>
  <c r="M299" i="1" s="1"/>
  <c r="M300" i="1" s="1"/>
  <c r="M301" i="1" s="1"/>
  <c r="M302" i="1" s="1"/>
  <c r="M303" i="1" s="1"/>
  <c r="M304" i="1" s="1"/>
  <c r="M305" i="1" s="1"/>
  <c r="M306" i="1" s="1"/>
  <c r="M307" i="1" s="1"/>
  <c r="M308" i="1" s="1"/>
  <c r="M309" i="1" s="1"/>
  <c r="M310" i="1" s="1"/>
  <c r="M311" i="1" s="1"/>
  <c r="M312" i="1" s="1"/>
  <c r="M313" i="1" s="1"/>
  <c r="M314" i="1" s="1"/>
  <c r="M315" i="1" s="1"/>
  <c r="M316" i="1" s="1"/>
  <c r="M317" i="1" s="1"/>
  <c r="M318" i="1" s="1"/>
  <c r="M319" i="1" s="1"/>
  <c r="M320" i="1" s="1"/>
  <c r="M321" i="1" s="1"/>
  <c r="M322" i="1" s="1"/>
  <c r="M323" i="1" s="1"/>
  <c r="M324" i="1" s="1"/>
  <c r="M325" i="1" s="1"/>
  <c r="M326" i="1" s="1"/>
  <c r="M327" i="1" s="1"/>
  <c r="M328" i="1" s="1"/>
  <c r="M329" i="1" s="1"/>
  <c r="M330" i="1" s="1"/>
  <c r="M331" i="1" s="1"/>
  <c r="M332" i="1" s="1"/>
  <c r="M333" i="1" s="1"/>
  <c r="M334" i="1" s="1"/>
  <c r="M335" i="1" s="1"/>
  <c r="M336" i="1" s="1"/>
  <c r="M337" i="1" s="1"/>
  <c r="M338" i="1" s="1"/>
  <c r="M339" i="1" s="1"/>
  <c r="M340" i="1" s="1"/>
  <c r="M341" i="1" s="1"/>
  <c r="M342" i="1" s="1"/>
  <c r="M343" i="1" s="1"/>
  <c r="M344" i="1" s="1"/>
  <c r="M345" i="1" s="1"/>
  <c r="M346" i="1" s="1"/>
  <c r="M347" i="1" s="1"/>
  <c r="M348" i="1" s="1"/>
  <c r="M349" i="1" s="1"/>
  <c r="M350" i="1" s="1"/>
  <c r="M351" i="1" s="1"/>
  <c r="M352" i="1" s="1"/>
  <c r="M353" i="1" s="1"/>
  <c r="M354" i="1" s="1"/>
  <c r="M355" i="1" s="1"/>
  <c r="M356" i="1" s="1"/>
  <c r="M357" i="1" s="1"/>
  <c r="M358" i="1" s="1"/>
  <c r="M359" i="1" s="1"/>
  <c r="M360" i="1" s="1"/>
  <c r="M361" i="1" s="1"/>
  <c r="M362" i="1" s="1"/>
  <c r="M363" i="1" s="1"/>
  <c r="M364" i="1" s="1"/>
  <c r="M365" i="1" s="1"/>
  <c r="M366" i="1" s="1"/>
  <c r="M367" i="1" s="1"/>
  <c r="M368" i="1" s="1"/>
  <c r="M369" i="1" s="1"/>
  <c r="M370" i="1" s="1"/>
  <c r="M371" i="1" s="1"/>
  <c r="M372" i="1" s="1"/>
  <c r="M373" i="1" s="1"/>
  <c r="M374" i="1" s="1"/>
  <c r="M375" i="1" s="1"/>
  <c r="M376" i="1" s="1"/>
  <c r="M377" i="1" s="1"/>
  <c r="M378" i="1" s="1"/>
  <c r="M379" i="1" s="1"/>
  <c r="M380" i="1" s="1"/>
  <c r="M381" i="1" s="1"/>
  <c r="M382" i="1" s="1"/>
  <c r="M383" i="1" s="1"/>
  <c r="M384" i="1" s="1"/>
  <c r="M385" i="1" s="1"/>
  <c r="M386" i="1" s="1"/>
  <c r="M387" i="1" s="1"/>
  <c r="M388" i="1" s="1"/>
  <c r="M389" i="1" s="1"/>
  <c r="M390" i="1" s="1"/>
  <c r="M391" i="1" s="1"/>
  <c r="M392" i="1" s="1"/>
  <c r="M393" i="1" s="1"/>
  <c r="M394" i="1" s="1"/>
  <c r="M395" i="1" s="1"/>
  <c r="M396" i="1" s="1"/>
  <c r="M397" i="1" s="1"/>
  <c r="M398" i="1" s="1"/>
  <c r="M399" i="1" s="1"/>
  <c r="M400" i="1" s="1"/>
  <c r="M401" i="1" s="1"/>
  <c r="M402" i="1" s="1"/>
  <c r="M403" i="1" s="1"/>
  <c r="M404" i="1" s="1"/>
  <c r="M407" i="1" s="1"/>
  <c r="M408" i="1" s="1"/>
  <c r="K71" i="1"/>
  <c r="L70" i="1"/>
  <c r="L71" i="1" s="1"/>
  <c r="K70" i="1"/>
  <c r="M56" i="1"/>
  <c r="M57" i="1" s="1"/>
  <c r="M58" i="1" s="1"/>
  <c r="M59" i="1" s="1"/>
  <c r="M60" i="1" s="1"/>
  <c r="M61" i="1" s="1"/>
  <c r="M62" i="1" s="1"/>
  <c r="M63" i="1" s="1"/>
  <c r="M64" i="1" s="1"/>
  <c r="M65" i="1" s="1"/>
  <c r="M66" i="1" s="1"/>
  <c r="M67" i="1" s="1"/>
  <c r="M68" i="1" s="1"/>
  <c r="M69" i="1" s="1"/>
  <c r="M70" i="1" s="1"/>
  <c r="M71" i="1" s="1"/>
  <c r="L51" i="1"/>
  <c r="L52" i="1" s="1"/>
  <c r="K51" i="1"/>
  <c r="K52" i="1" s="1"/>
  <c r="M46" i="1"/>
  <c r="M47" i="1" s="1"/>
  <c r="M48" i="1" s="1"/>
  <c r="M49" i="1" s="1"/>
  <c r="M50" i="1" s="1"/>
  <c r="M51" i="1" s="1"/>
  <c r="M52" i="1" s="1"/>
  <c r="M41" i="1"/>
  <c r="L41" i="1"/>
  <c r="K41" i="1"/>
  <c r="M39" i="1"/>
  <c r="M42" i="1" s="1"/>
  <c r="L39" i="1"/>
  <c r="L42" i="1" s="1"/>
  <c r="K39" i="1"/>
  <c r="K42" i="1" s="1"/>
  <c r="M29" i="1"/>
  <c r="M30" i="1" s="1"/>
  <c r="M12" i="1"/>
  <c r="M13" i="1" s="1"/>
  <c r="M32" i="1" l="1"/>
  <c r="L32" i="1"/>
  <c r="K32" i="1"/>
  <c r="L30" i="1"/>
  <c r="K30" i="1"/>
  <c r="M27" i="1"/>
  <c r="L27" i="1"/>
  <c r="K27" i="1"/>
  <c r="M23" i="1"/>
  <c r="M24" i="1" s="1"/>
  <c r="L23" i="1"/>
  <c r="L24" i="1" s="1"/>
  <c r="K23" i="1"/>
  <c r="K24" i="1" s="1"/>
  <c r="M19" i="1"/>
  <c r="M20" i="1" s="1"/>
  <c r="L19" i="1"/>
  <c r="L20" i="1" s="1"/>
  <c r="K19" i="1"/>
  <c r="K20" i="1" s="1"/>
  <c r="M15" i="1"/>
  <c r="L15" i="1"/>
  <c r="K15" i="1"/>
  <c r="L13" i="1"/>
  <c r="K13" i="1"/>
  <c r="K16" i="1" l="1"/>
  <c r="M33" i="1"/>
  <c r="L16" i="1"/>
  <c r="K33" i="1"/>
  <c r="K34" i="1" s="1"/>
  <c r="K35" i="1" s="1"/>
  <c r="L33" i="1"/>
  <c r="M16" i="1"/>
  <c r="M34" i="1" l="1"/>
  <c r="M35" i="1" s="1"/>
  <c r="L34" i="1"/>
  <c r="L35" i="1" s="1"/>
</calcChain>
</file>

<file path=xl/sharedStrings.xml><?xml version="1.0" encoding="utf-8"?>
<sst xmlns="http://schemas.openxmlformats.org/spreadsheetml/2006/main" count="4696" uniqueCount="838">
  <si>
    <t>GULF DETECTION LLC</t>
  </si>
  <si>
    <t/>
  </si>
  <si>
    <t>Account</t>
  </si>
  <si>
    <t>Type</t>
  </si>
  <si>
    <t>Internal ID</t>
  </si>
  <si>
    <t>Name</t>
  </si>
  <si>
    <t>Date</t>
  </si>
  <si>
    <t>Document Number</t>
  </si>
  <si>
    <t>Entity (Line): Name</t>
  </si>
  <si>
    <t>Memo</t>
  </si>
  <si>
    <t>Description</t>
  </si>
  <si>
    <t>Debit</t>
  </si>
  <si>
    <t>Credit</t>
  </si>
  <si>
    <t>Balance</t>
  </si>
  <si>
    <t>Business Division: Name</t>
  </si>
  <si>
    <t>Department: Name</t>
  </si>
  <si>
    <t>Location: Name</t>
  </si>
  <si>
    <t>Sales rep - Custom</t>
  </si>
  <si>
    <t>Subsidiary: Name</t>
  </si>
  <si>
    <t>2500000 - PROVISIONS AND RESERVES</t>
  </si>
  <si>
    <t>2503000 - PROVISION FOR DEPRECIATION</t>
  </si>
  <si>
    <t>2503500 - PROV. FOR DEP.- VEHICLES</t>
  </si>
  <si>
    <t>2503501 - PROV.FOR DEP.- CARS</t>
  </si>
  <si>
    <t>Total - 2503501 - PROV.FOR DEP.- CARS</t>
  </si>
  <si>
    <t>2503509 - PROV.FOR DEP.- VEHICLE OTHERS</t>
  </si>
  <si>
    <t>Total - 2503509 - PROV.FOR DEP.- VEHICLE OTHERS</t>
  </si>
  <si>
    <t>Total - 2503500 - PROV. FOR DEP.- VEHICLES</t>
  </si>
  <si>
    <t>2503600 - PROV.FOR DEP.- ELECT. EQUP&amp; AC</t>
  </si>
  <si>
    <t>2503603 - PROV.FOR DEP.- AC WINDOW UNITS</t>
  </si>
  <si>
    <t>Total - 2503603 - PROV.FOR DEP.- AC WINDOW UNITS</t>
  </si>
  <si>
    <t>Total - 2503600 - PROV.FOR DEP.- ELECT. EQUP&amp; AC</t>
  </si>
  <si>
    <t>2503700 - PROV.FOR DEP.- FURNITURE &amp; FIX</t>
  </si>
  <si>
    <t>2503701 - PROV.FOR DEP.- FUR. &amp; FIX -OFF</t>
  </si>
  <si>
    <t>Total - 2503701 - PROV.FOR DEP.- FUR. &amp; FIX -OFF</t>
  </si>
  <si>
    <t>Total - 2503700 - PROV.FOR DEP.- FURNITURE &amp; FIX</t>
  </si>
  <si>
    <t>2503800 - PROV.FOR DEP.- OFF EQUP &amp; MACH</t>
  </si>
  <si>
    <t>2503801 - PROV.FOR DEP.- OFF. EQUIPMENTS</t>
  </si>
  <si>
    <t>Total - 2503801 - PROV.FOR DEP.- OFF. EQUIPMENTS</t>
  </si>
  <si>
    <t>2503802 - PROV.FOR DEP.- COMP. HARDWARE</t>
  </si>
  <si>
    <t>Total - 2503802 - PROV.FOR DEP.- COMP. HARDWARE</t>
  </si>
  <si>
    <t>2503803 - PROV.FOR DEP.- COMP. SOFTWARE</t>
  </si>
  <si>
    <t>Total - 2503803 - PROV.FOR DEP.- COMP. SOFTWARE</t>
  </si>
  <si>
    <t>Total - 2503800 - PROV.FOR DEP.- OFF EQUP &amp; MACH</t>
  </si>
  <si>
    <t>Total - 2503000 - PROVISION FOR DEPRECIATION</t>
  </si>
  <si>
    <t>Total - 2500000 - PROVISIONS AND RESERVES</t>
  </si>
  <si>
    <t>Journal</t>
  </si>
  <si>
    <t>958</t>
  </si>
  <si>
    <t>CARS</t>
  </si>
  <si>
    <t>JV-039-013168-24</t>
  </si>
  <si>
    <t>Provision for depreciation 2023</t>
  </si>
  <si>
    <t>1303300 - DEPOSITS</t>
  </si>
  <si>
    <t>1303306 - DEPOSITS - OTHERS</t>
  </si>
  <si>
    <t>Total - 1303306 - DEPOSITS - OTHERS</t>
  </si>
  <si>
    <t>1303308 - MARGIN</t>
  </si>
  <si>
    <t>Total - 1303308 - MARGIN</t>
  </si>
  <si>
    <t>Total - 1303300 - DEPOSITS</t>
  </si>
  <si>
    <t>1303400 - PREPAYMENTS</t>
  </si>
  <si>
    <t>1303401 - PREPAID EXPENSES</t>
  </si>
  <si>
    <t>1374</t>
  </si>
  <si>
    <t>PREPAID EXPENSES</t>
  </si>
  <si>
    <t>JV-039-012619-24</t>
  </si>
  <si>
    <t>JV-039-012802-24</t>
  </si>
  <si>
    <t>RECTIFICATION OF JV-039-012604-23-Being insurance charges booked for OIC(Insur)Tesla</t>
  </si>
  <si>
    <t>PREPAID BOOKED FOR 8 MONTHS -Being insurance charges booked for OIC(Insur)Tesla</t>
  </si>
  <si>
    <t>S10-GULF-DETECTION-RETAIL</t>
  </si>
  <si>
    <t>S00-SALES TEAM ACROSS ALL UNITS</t>
  </si>
  <si>
    <t>S10-Q10-ALQUOZ GD RETAIL</t>
  </si>
  <si>
    <t>JV-039-012804-24</t>
  </si>
  <si>
    <t>PREPAID EXP FOR 10 MONTH BOOKED FOR  JV-039-012786-24-Being insurance charges booked for AGMC(BMW)Chgr for Registration</t>
  </si>
  <si>
    <t>JV-039-012803-24</t>
  </si>
  <si>
    <t>RECTIFICATION OF JV-039-012605-23-Being insurance charges booked for RSA-Insur(MG)</t>
  </si>
  <si>
    <t>10 MONTHS INSUARNCE PREPAID BOOKED-for RSA-Insur(MG)</t>
  </si>
  <si>
    <t>JV-039-012631-23</t>
  </si>
  <si>
    <t>Being tenancy contract Expenses Booked for 2023 and  balance trf to Prepaid</t>
  </si>
  <si>
    <t>Total - 1303401 - PREPAID EXPENSES</t>
  </si>
  <si>
    <t>Total - 1303400 - PREPAYMENTS</t>
  </si>
  <si>
    <t>1304100 - CASH IN HAND  (PETTY CASH)</t>
  </si>
  <si>
    <t>1304110-02 - CASH IN HAND  (PETTY CASH -I GD-RETAIL-10)</t>
  </si>
  <si>
    <t>2952</t>
  </si>
  <si>
    <t>CASH IN HAND  (PETTY CASH -I GD-RETAIL-10)</t>
  </si>
  <si>
    <t>JV-039-012400-23</t>
  </si>
  <si>
    <t>Being Petty Cash Expenses for the Month of Jan 2023</t>
  </si>
  <si>
    <t>JV-039-012401-23</t>
  </si>
  <si>
    <t>Being Petty Cash Expenses for the Month of Feb 2023</t>
  </si>
  <si>
    <t>JV-039-012503-23</t>
  </si>
  <si>
    <t>BEING PETTY CASH EXPENSES BOOKED FOR THE MONTH OF MARCH-23</t>
  </si>
  <si>
    <t>BEING PETTY CASH EXPENSESS BOOKED FOR THE MONTH OF MARCH-23</t>
  </si>
  <si>
    <t>JV-039-012504-23</t>
  </si>
  <si>
    <t>BEING PETTY CASH EXPENSES BOOKED FOR THE MONTH OF APRIL-23</t>
  </si>
  <si>
    <t>BEING PETTY CASH EXPENSESS BOOKED FOR THE MONTH OF APRIL-23</t>
  </si>
  <si>
    <t>JV-039-012561-23</t>
  </si>
  <si>
    <t>Being Petty Cash Expense Booked for the Month of May 2023</t>
  </si>
  <si>
    <t>01 DIRECT DEPARTMENTS</t>
  </si>
  <si>
    <t>JV-039-012538-23</t>
  </si>
  <si>
    <t>Being Petty Cash Expenses Payment booked for APRIL- AUGUST 2022 Chq No 007766</t>
  </si>
  <si>
    <t>JV-039-012402-23</t>
  </si>
  <si>
    <t>Being Petty Cash and Site Visit Expense  booked for Jan 2023 Chq No 7791</t>
  </si>
  <si>
    <t>JV-039-012403-23</t>
  </si>
  <si>
    <t>Being Petty Cash and Site Visit Expense  booked for Feb 2023 Chq No 7792</t>
  </si>
  <si>
    <t>JV-039-012562-23</t>
  </si>
  <si>
    <t>Being Petty Cash Expense Booked for the Month of June 2023</t>
  </si>
  <si>
    <t>JV-039-012429-23</t>
  </si>
  <si>
    <t>Being Petty Cash Expenses Payment booked for Sept- Dec 2022 Chq No 007778</t>
  </si>
  <si>
    <t>JV-039-012505-23</t>
  </si>
  <si>
    <t>BEING PAYMENT FOR PETTY CASH EXPENSES FOR THE MONTH OF MARCH-23 CHEQUE NO 7840</t>
  </si>
  <si>
    <t>JV-039-012506-23</t>
  </si>
  <si>
    <t>BEING PAYMENT FOR PETTY CASH EXPENSES FOR THE MONTH OF APRIL-23 CHEQUE NO 7841</t>
  </si>
  <si>
    <t>JV-039-012612-23</t>
  </si>
  <si>
    <t>BEING PETTY CASH EXPENSES BOOKED FOR THE MONTH OF July And August-23</t>
  </si>
  <si>
    <t>BRING PETTY CASH EXENSESS BOOKED FOR THE MONTH OF JULY AND AUGUST-23</t>
  </si>
  <si>
    <t>JV-039-012563-23</t>
  </si>
  <si>
    <t>Being Petty Cash Payment Booked for the Month of May &amp; June 2023 Chq No 7855 &amp; 7856</t>
  </si>
  <si>
    <t>Being Petty Cash Payment Booked for the Month of May 2023</t>
  </si>
  <si>
    <t>Total - 1304110-02 - CASH IN HAND  (PETTY CASH -I GD-RETAIL-10)</t>
  </si>
  <si>
    <t>Total - 1304100 - CASH IN HAND  (PETTY CASH)</t>
  </si>
  <si>
    <t>1305100 - CASH AT BANK - BANK ACCOUNTS</t>
  </si>
  <si>
    <t>1305150-00 - MASHREQ BANK</t>
  </si>
  <si>
    <t>1305150-03 - MASHREQ BANK-GULF DETECTION-AED-010490925957-(S10-RETAIL)</t>
  </si>
  <si>
    <t>2943</t>
  </si>
  <si>
    <t>MASHREQ BANK-GULF DETECTION-AED-010490925957-(S10-RETAIL)</t>
  </si>
  <si>
    <t>JV-039-012392-23</t>
  </si>
  <si>
    <t>Charges-Withdrawals and Chq Deposits 010490925957</t>
  </si>
  <si>
    <t>JV-039-012390-23</t>
  </si>
  <si>
    <t>Value Added Tax @ 5 % 010490925957</t>
  </si>
  <si>
    <t>JV-039-011855-22</t>
  </si>
  <si>
    <t>#Chq No. 7686, payment against Invoice #11012</t>
  </si>
  <si>
    <t>#Chq No. 7686, payment against Quotation #11012 (Bur Dubai Computer Services)</t>
  </si>
  <si>
    <t>JV-039-011876-23</t>
  </si>
  <si>
    <t>Being payment made BHATIA BROTHERS FZE-NEW VISA for MR SARWAR Chq No 007699</t>
  </si>
  <si>
    <t>JV-039-012404-23</t>
  </si>
  <si>
    <t>Inward Clearing Cheque INWARD CLEARING-007692 BHATIA BROTHERS FZE -VAT PAYMENT SEP-22 TO NOV-22</t>
  </si>
  <si>
    <t>JV-039-011940-23</t>
  </si>
  <si>
    <t>TRAVELLING &amp; SITE EXPENSES from SEP - Dec 22  CHQ NO 007703</t>
  </si>
  <si>
    <t>JV-039-011928-23</t>
  </si>
  <si>
    <t>PAYMENT TOWARDS SIRA, POLICE CLEARANCE CERTIFICATE , VAT &amp; VISA CHARGES Ch. No. '007628</t>
  </si>
  <si>
    <t>(4966 + 215 VAT)  Ch. No. '007628, PAYMENT TOWARDS SIRA, POLICE CLEARANCE CERTIFICATE , VAT &amp; VISA CHARGES</t>
  </si>
  <si>
    <t>JV-039-011926-23</t>
  </si>
  <si>
    <t>CH NO - 7704,  Payment for Mr. Kaviraj Balance Salary  April 2020 to June 2021</t>
  </si>
  <si>
    <t>JV-039-011929-23</t>
  </si>
  <si>
    <t>Payment made for Renewal of Trade License for Gulf Detection Trading Co. (LLC) for 2023-24 Chq No 007705</t>
  </si>
  <si>
    <t>JV-039-012466-23</t>
  </si>
  <si>
    <t>Inward Remittance FUND TRANSFER OUR /AE560354021323817422010 ALSHAFAR INTERIORS CO LLC P.O BOXDU /REF/PRO 133/20223570 SRN:NFR/23/004404290</t>
  </si>
  <si>
    <t>JV-039-011941-23</t>
  </si>
  <si>
    <t>Payment for Professional Fees For a Consultancy Report against Muhammed Shafi including legal  translation Chq No 007707</t>
  </si>
  <si>
    <t>JV-039-012406-23</t>
  </si>
  <si>
    <t>M S J TRANSPORT BY HEAVY &amp; LIGHT TRUCKS LLC Cheque Transaction INSTRUMENT AMOUNT007557</t>
  </si>
  <si>
    <t>JV-039-011805-22</t>
  </si>
  <si>
    <t>#Chq No. 7672, AIRPORT ROAD RENT GD SHARE FOR FY 2023- 2nd INSTALLMENT</t>
  </si>
  <si>
    <t>JV-039-012475-23</t>
  </si>
  <si>
    <t>Being payment made to Mr Deepak Haridas against Consultancy Charges for SAFEER MALL for AED 18750/- Chq No 3426360</t>
  </si>
  <si>
    <t>JV-039-012391-23</t>
  </si>
  <si>
    <t>Chq no. 007643 Inward Clearing Return Cheque INWARD CLEARING-A-INSUFFICIENT FUNDS (INF)-007643</t>
  </si>
  <si>
    <t>Inward Clearing Return Cheque INWARD CLEARING-A-INSUFFICIENT FUNDS (INF)-007643</t>
  </si>
  <si>
    <t>JV-039-011987-23</t>
  </si>
  <si>
    <t>FUND ASSITANCE REPAYMENT TO VVS CPD Chq No 007708</t>
  </si>
  <si>
    <t>FUND ASSITANCE REPAYMENT TO VVS CPD</t>
  </si>
  <si>
    <t>JV-039-012393-23</t>
  </si>
  <si>
    <t>Inward Clearing Return Charges 007643 A-INSUFFICIENT FUNDS(INF)</t>
  </si>
  <si>
    <t>JV-039-012467-23</t>
  </si>
  <si>
    <t>Outward Clearing Cheque OUTWARD CLEARING-001930 for IT MAX GLOBAL DMCC</t>
  </si>
  <si>
    <t>Inward Remittance FUND TRANSFER OUR /AE020400000362061892001 /006/003 IT MAX GLOBAL DMCC /REF/GOODS BOUGHT/PO002224 AURA SRN:000088137540</t>
  </si>
  <si>
    <t>JV-039-012465-23</t>
  </si>
  <si>
    <t>VOSTOK TRADING LLC Inward Clearing Return Cheque INWARD CLEARING-A-INSUFFICIENT FUNDS (INF)-007643</t>
  </si>
  <si>
    <t>JV-039-012436-23</t>
  </si>
  <si>
    <t>Value Added Tax @ 5 % 007643 A-INSUFFICIENT FUNDS(INF)</t>
  </si>
  <si>
    <t>JV-039-012394-23</t>
  </si>
  <si>
    <t>Third Party Cash Withdrawal Charges 010490925957</t>
  </si>
  <si>
    <t>JV-039-012068-23</t>
  </si>
  <si>
    <t>24*7 monitoring fee to the Dubai civil defense GD Share Chq No 7709</t>
  </si>
  <si>
    <t>JV-039-012070-23</t>
  </si>
  <si>
    <t>#Chq No.7710, Balance Salary for October 21- March 22(Lavnya)</t>
  </si>
  <si>
    <t>JV-039-012469-23</t>
  </si>
  <si>
    <t>Outward Clearing Cheque OUTWARD CLEARING-000555 SAFEER</t>
  </si>
  <si>
    <t>JV-039-012405-23</t>
  </si>
  <si>
    <t>Inward Clearing Cheque INWARD CLEARING-007643</t>
  </si>
  <si>
    <t>JV-039-012540-23</t>
  </si>
  <si>
    <t>JV-039-012484-23</t>
  </si>
  <si>
    <t>Outward Clearing Cheque OUTWARD CLEARING-031901 Received payment from Lulu Hypermarket</t>
  </si>
  <si>
    <t>JV-039-012076-23</t>
  </si>
  <si>
    <t>REVERSAL -Inward Clearing Cheque INWARD CLEARING-007327</t>
  </si>
  <si>
    <t>JV-039-012079-23</t>
  </si>
  <si>
    <t>JV-039-012089-23</t>
  </si>
  <si>
    <t>Being payment made to  AL SHIRA CONTROL DEVICES for Kaviraj New Laptop Chq No 007711</t>
  </si>
  <si>
    <t>JV-039-012088-23</t>
  </si>
  <si>
    <t>Being Payment made to OMAN INSURANCE COMPANY ( P S C ) for Insurance of Saheer, Presannan and Abdul Chq No 7691</t>
  </si>
  <si>
    <t>JV-039-012468-23</t>
  </si>
  <si>
    <t>DANUBE BUILDING MATERIALS FZCO Inward Remittance FUND TRANSFER OUR /AE600351031001005614010 DANUBE BUILDING MATERIALS FZCO /REF/APOT2220000163 SRN:FT222086DD8F</t>
  </si>
  <si>
    <t>Inward Remittance FUND TRANSFER OUR /AE600351031001005614010 DANUBE BUILDING MATERIALS FZCO /REF/135 152 156 SRN:FT230248BCV2</t>
  </si>
  <si>
    <t>JV-039-012133-23</t>
  </si>
  <si>
    <t>Chq No. 7712 WPS SALARY - Feb 10th Payment - Jan '2023</t>
  </si>
  <si>
    <t>JV-039-012407-23</t>
  </si>
  <si>
    <t>Inward Clearing Cheque INWARD CLEARING-007702  DEC 22 WPS SALARY</t>
  </si>
  <si>
    <t>JV-039-012453-23</t>
  </si>
  <si>
    <t>SHARAF EXCHANGE LLC  DEC 22 WPS SALARY  Inward Clearing Cheque INWARD CLEARING-007702</t>
  </si>
  <si>
    <t>JV-039-012439-23</t>
  </si>
  <si>
    <t>AL SHIRAA CONTROL DEVICES TR Inward Clearing Cheque INWARD CLEARING-007642</t>
  </si>
  <si>
    <t>JV-039-012437-23</t>
  </si>
  <si>
    <t>AL SHIRAA CONTROL DEVICES TR Inward Clearing Cheque INWARD CLEARING-007655</t>
  </si>
  <si>
    <t>JV-039-012438-23</t>
  </si>
  <si>
    <t>BUR DUBAI COMPUTER SERVICES Inward Clearing Cheque INWARD CLEARING-007649</t>
  </si>
  <si>
    <t>JV-039-012441-23</t>
  </si>
  <si>
    <t>BHATIA BROTHERS FZE GD TRADE LICENCE RENEWAL PAYMENT  Inward Clearing Cheque INWARD CLEARING-007705</t>
  </si>
  <si>
    <t>JV-039-012553-23</t>
  </si>
  <si>
    <t>REVERSAL AGAINEST JV-039-012441-23 BHATIA BROTHERS FZE GD TRADE LICENCE RENEWAL PAYMENT  Inward Clearing Cheque INWARD CLEARING-007705</t>
  </si>
  <si>
    <t>REVERSAL BHATIA BROTHERS FZE GD TRADE LICENCE RENEWAL PAYMENT  Inward Clearing Cheque INWARD CLEARING-007705</t>
  </si>
  <si>
    <t>JV-039-012440-23</t>
  </si>
  <si>
    <t>Inward Clearing Cheque INWARD CLEARING-007652</t>
  </si>
  <si>
    <t>JV-039-012408-23</t>
  </si>
  <si>
    <t>GD TRADE LICENCE RENEWAL PAYMENT Inward Clearing Cheque INWARD CLEARING-007705</t>
  </si>
  <si>
    <t>JV-039-011857-22</t>
  </si>
  <si>
    <t>CH NO - 7687, PAYMENT TO BHATIA BROTHERS FZE AGST JAFZA 2022-2023 RENT ALLOCATION GD - 3RD INSTALLMENT</t>
  </si>
  <si>
    <t>JV-039-012442-23</t>
  </si>
  <si>
    <t>M S J TRANSPORT BY HEAVY &amp; LIGHT TRUCKS LLC  FOR MONTH 28.11.2021  Charges-Withdrawals and Chq Deposits 010490925957</t>
  </si>
  <si>
    <t>JV-039-012168-23</t>
  </si>
  <si>
    <t>Being Payment made as Court Fees for Mohammed Shafi Labor Case Chq No 7714</t>
  </si>
  <si>
    <t>JV-039-012791-24</t>
  </si>
  <si>
    <t>REVERSAL OF JV-039-012169-23 &amp; JV-039-012200-23Being Payment made as Court Fees for Mohammed Shafi Labor Case  CHQ NO-7715  &amp;7721</t>
  </si>
  <si>
    <t>REVERSAL OF JV-039-012199-23--Being Payment made as Court Fees for Mohammed Shafi Labor Case Chq No 7722</t>
  </si>
  <si>
    <t>JV-039-012792-24</t>
  </si>
  <si>
    <t>JV-039-012199-23</t>
  </si>
  <si>
    <t>Being Payment made as Court Fees for Mohammed Shafi Labor Case Chq No 7722</t>
  </si>
  <si>
    <t>JV-039-012789-24</t>
  </si>
  <si>
    <t>REVERSAL OF JV-039-012168-23-Being Payment made as Court Fees for Mohammed Shafi Labor Case Chq No 7714</t>
  </si>
  <si>
    <t>JV-039-012200-23</t>
  </si>
  <si>
    <t>Being Payment made as Lawyer Fees for Mohammed Shafi Labor Case Chq No 7721</t>
  </si>
  <si>
    <t>JV-039-012169-23</t>
  </si>
  <si>
    <t>Being Payment made as Lawyer Fees for Mohammed Shafi Labor Case Chq No 7715</t>
  </si>
  <si>
    <t>JV-039-012485-23</t>
  </si>
  <si>
    <t>Outward Clearing Cheque OUTWARD CLEARING-100371 ALI RAZA F &amp; F BB RENTAL SHARE RECEIVED</t>
  </si>
  <si>
    <t>JV-039-012790-24</t>
  </si>
  <si>
    <t>REVERSAL OF JV-039-012199-23-Being Payment made as Court Fees for Mohammed Shafi Labor Case Chq No 7722</t>
  </si>
  <si>
    <t>JV-039-012395-23</t>
  </si>
  <si>
    <t>JV-039-012170-23</t>
  </si>
  <si>
    <t>Being Payment made to Sharaf Exchange for Kaviraj Leave Salary Chq No 7718</t>
  </si>
  <si>
    <t>JV-039-012171-23</t>
  </si>
  <si>
    <t>Being Payment made for Nivin Varghese Full &amp; Final Settlement Chq No 7716</t>
  </si>
  <si>
    <t>JV-039-012197-23</t>
  </si>
  <si>
    <t>Reversal for JV-039-012171-23 Being Payment made for Nivin Varghese Full &amp; Final Settlement Chq No 7716</t>
  </si>
  <si>
    <t>JV-039-012174-23</t>
  </si>
  <si>
    <t>Being Payment made for Kishan SIRA Card Payment Chq No 7717</t>
  </si>
  <si>
    <t>JV-039-012196-23</t>
  </si>
  <si>
    <t>Being payment made to BHATIA BROTHERS FZE for Change in Contracts from Unlimited to Limited Chq No 7713</t>
  </si>
  <si>
    <t>JV-039-012202-23</t>
  </si>
  <si>
    <t>Being Payment made for Saheer Karim Leave Salary and Air Passage Chq No 7719</t>
  </si>
  <si>
    <t>JV-039-011806-22</t>
  </si>
  <si>
    <t>#Chq No. 7673, AIRPORT ROAD RENT GD SHARE FOR FY 2023- 3rd INSTALLMENT</t>
  </si>
  <si>
    <t>JV-039-012201-23</t>
  </si>
  <si>
    <t>Being Payment made for Nivin and Sukhjinder Visa Cancellation Charges Chq No 7720</t>
  </si>
  <si>
    <t>JV-039-012487-23</t>
  </si>
  <si>
    <t>Outward Clearing Cheque OUTWARD CLEARING-001525  ALI RAZA F &amp; BB ISD TPC SHARE RECEIVED</t>
  </si>
  <si>
    <t>JV-039-012477-23</t>
  </si>
  <si>
    <t>Inward Clearing Cheque INWARD CLEARING-007671  HO RENT SHARE JAN  23</t>
  </si>
  <si>
    <t>JV-039-012443-23</t>
  </si>
  <si>
    <t>ALI RAZA F &amp; F  Cheque Transaction INSTRUMENT AMOUNT007660</t>
  </si>
  <si>
    <t>JV-039-012205-23</t>
  </si>
  <si>
    <t>Being Payment made to High Grow Trading LLC for PO-833-000005-23 Chq No. 007727</t>
  </si>
  <si>
    <t>JV-039-012210-23</t>
  </si>
  <si>
    <t>Being Payment made to Al Shiraa Control Devices Tr for PO-833-000004-23 Chq No. 7726</t>
  </si>
  <si>
    <t>JV-039-012209-23</t>
  </si>
  <si>
    <t>Being Payment made to Bur Dubai Computer Services for PO-833-000003-23 Chq No. 7725</t>
  </si>
  <si>
    <t>JV-039-012207-23</t>
  </si>
  <si>
    <t>Being Payment made to ALBAYARD SECURITY CONSULTANTS for PO-833-000007-23 Chq No. 007729</t>
  </si>
  <si>
    <t>JV-039-012206-23</t>
  </si>
  <si>
    <t>Being Payment made to ALBAYARD SECURITY CONSULTANTS for PO-833-000006-23 Chq No. 007728</t>
  </si>
  <si>
    <t>JV-039-012208-23</t>
  </si>
  <si>
    <t>Being Payment made to Tec Innova LLC for PO-833-000001-23 Chq No. 7724</t>
  </si>
  <si>
    <t>JV-039-012410-23</t>
  </si>
  <si>
    <t>SIRA PAYMENT Inward Clearing Cheque INWARD CLEARING-007683</t>
  </si>
  <si>
    <t>JV-039-012541-23</t>
  </si>
  <si>
    <t>Outward Clearing Cheque OUTWARD CLEARING-709944</t>
  </si>
  <si>
    <t>JV-039-012546-23</t>
  </si>
  <si>
    <t>Being Payment made to Bhatia Brothers FZE for SIRA License Renewal Chq no 7683</t>
  </si>
  <si>
    <t>JV-039-012926-24</t>
  </si>
  <si>
    <t>Reversal of JV JV-039-012214-23 &amp; JV-039-012215-23</t>
  </si>
  <si>
    <t>JV-039-012214-23</t>
  </si>
  <si>
    <t>BHATIA BROTHERS FZE -SYED RAFAY ALI F &amp; F  Chq No 007667</t>
  </si>
  <si>
    <t>JV-039-012220-23</t>
  </si>
  <si>
    <t>Total Loss Payment Request - DXB-C -21450 BB Rental Chq No 7739</t>
  </si>
  <si>
    <t>JV-039-012221-23</t>
  </si>
  <si>
    <t>Total Loss Payment Request - DXB-C -21450 BB Rental Chq No 7738</t>
  </si>
  <si>
    <t>JV-039-012215-23</t>
  </si>
  <si>
    <t>BHATIA BROTHERS FZE -SYED RAFAY ALI F &amp; F  Chq No 007668</t>
  </si>
  <si>
    <t>JV-039-012222-23</t>
  </si>
  <si>
    <t>Chq No. 7734 WPS SALARY - March 10th Payment - Feb '2023</t>
  </si>
  <si>
    <t>JV-039-011859-22</t>
  </si>
  <si>
    <t>CH NO - 7688, PAYMENT TO BHATIA BROTHERS FZE AGST JAFZA 2022-2023 RENT ALLOCATION GD - 4TH INSTALLMENT</t>
  </si>
  <si>
    <t>JV-039-012545-23</t>
  </si>
  <si>
    <t>JV-039-012488-23</t>
  </si>
  <si>
    <t>Outward Clearing Cheque OUTWARD CLEARING-000289 Received payment from Impulse trading</t>
  </si>
  <si>
    <t>JV-039-012444-23</t>
  </si>
  <si>
    <t>Value Added Tax @ 5 % 010490925957 Charges-Withdrawals and Chq Deposits 010490925957 Value Added Tax @ 5 % 010490925957 Charges 010490925957</t>
  </si>
  <si>
    <t>JV-039-012396-23</t>
  </si>
  <si>
    <t>JV-039-012413-23</t>
  </si>
  <si>
    <t>SIRA LICENCE RENEWAL Inward Clearing Cheque INWARD CLEARING-007741</t>
  </si>
  <si>
    <t>JV-039-012547-23</t>
  </si>
  <si>
    <t>Being Payment made to Bhatia Brothers FZE for SIRA License Renewal Chq no 007741</t>
  </si>
  <si>
    <t>JV-039-012224-23</t>
  </si>
  <si>
    <t>Being Payment made to NetSuite as Urgent Payment GD Share - Invoice - 1504149 Chq No 7744</t>
  </si>
  <si>
    <t>JV-039-012226-23</t>
  </si>
  <si>
    <t>Being Payment made for Cash Purchases of 2022 Chq No 7723</t>
  </si>
  <si>
    <t>JV-039-012560-23</t>
  </si>
  <si>
    <t>Reversal for JV-039-012223-23 Being Payment made to AL Saaha Stationery  for GD SERVICE REPORT PRINTING Chq No 7735</t>
  </si>
  <si>
    <t>JV-039-012223-23</t>
  </si>
  <si>
    <t>Being Payment made to AL Saaha Stationery  for GD SERVICE REPORT PRINTING Chq No 7735</t>
  </si>
  <si>
    <t>JV-039-012225-23</t>
  </si>
  <si>
    <t>Being Payment made for New technician visa -Imam Khan Chq No 7743</t>
  </si>
  <si>
    <t>JV-039-012489-23</t>
  </si>
  <si>
    <t>Outward Clearing Cheque OUTWARD CLEARING-000377  payment from Impulse trading</t>
  </si>
  <si>
    <t>JV-039-012263-23</t>
  </si>
  <si>
    <t>Being payment made for GD Share- Google Workspace Allocation 2023-24 Chq No 7749</t>
  </si>
  <si>
    <t>JV-039-011808-22</t>
  </si>
  <si>
    <t>#Chq No. 7674, AIRPORT ROAD RENT GD SHARE FOR FY 2023- 4th INSTALLMENT</t>
  </si>
  <si>
    <t>JV-039-012264-23</t>
  </si>
  <si>
    <t>Being payment made for GD Share- Google Workspace Allocation 2023-24 Chq No 7750</t>
  </si>
  <si>
    <t>JV-039-012216-23</t>
  </si>
  <si>
    <t>GREENWAVE SOLAR ENERGY SYSTEMS TRADING LLC CHQ NO 007669</t>
  </si>
  <si>
    <t>JV-039-012260-23</t>
  </si>
  <si>
    <t>Being Payment made to Infoquest LLC for PO-833-000013-23   Chq No 7746</t>
  </si>
  <si>
    <t>JV-039-012258-23</t>
  </si>
  <si>
    <t>Being Payment made to Bhatia Brothers FZE for SIRA License Renewal Chq no 7742</t>
  </si>
  <si>
    <t>JV-039-012414-23</t>
  </si>
  <si>
    <t>SIRA LICENCE RENEWAL Inward Clearing Cheque INWARD CLEARING-007742</t>
  </si>
  <si>
    <t>JV-039-012262-23</t>
  </si>
  <si>
    <t>Being Payment made to Al Shiraa Control Devices TR for PO-833-000015-23 Chq No 7748</t>
  </si>
  <si>
    <t>JV-039-012261-23</t>
  </si>
  <si>
    <t>Being Payment made to Al Shiraa Control Devices TR for PO-833-000014-23   Chq No 7747</t>
  </si>
  <si>
    <t>JV-039-012259-23</t>
  </si>
  <si>
    <t>Being Payment made to Infoquest LLC for PO-833-000012-23   Chq No 7745</t>
  </si>
  <si>
    <t>JV-039-012211-23</t>
  </si>
  <si>
    <t>Being Payment made for Nivin Varghese Full &amp; Final Settlement Chq No 7730</t>
  </si>
  <si>
    <t>JV-039-012303-23</t>
  </si>
  <si>
    <t>Being Payment made to BHATIA BROTHERS FZE for GD -RECRUITMENT SALES ENGINEER -YAKOOB  Chq No 7755</t>
  </si>
  <si>
    <t>JV-039-012304-23</t>
  </si>
  <si>
    <t>VAT PAYMENT FOR DEC 22-MAR 23 Chq No 7758</t>
  </si>
  <si>
    <t>JV-039-012305-23</t>
  </si>
  <si>
    <t>Chq No. 7759 WPS SALARY - April 10th Payment - Mar '2023</t>
  </si>
  <si>
    <t>JV-039-012417-23</t>
  </si>
  <si>
    <t>AL SHIRAA CONTROL DEVICES TR LAPTOP PURCHASE FOR KAVIRAJ (Inward Clearing Cheque INWARD CLEARING-007711)</t>
  </si>
  <si>
    <t>JV-039-012313-23</t>
  </si>
  <si>
    <t>Being Payment made to BHATIA BROTHERS FZE for Payments towards Visa Renewal for Prasannan Pillai Chq No 007761</t>
  </si>
  <si>
    <t>JV-039-012312-23</t>
  </si>
  <si>
    <t>Being Payment made to The New India Assurance Company Limited for Payments towards Property All Risk, Public Liability and Fire Consequential Loss Policies Chq No 007757</t>
  </si>
  <si>
    <t>JV-039-012198-23</t>
  </si>
  <si>
    <t>Being Payment made for Nivin Varghese Full &amp; Final Settlement Chq No 7731</t>
  </si>
  <si>
    <t>JV-039-012397-23</t>
  </si>
  <si>
    <t>Charges-Withdrawals and Chq Deposits</t>
  </si>
  <si>
    <t>JV-039-012902-24</t>
  </si>
  <si>
    <t>Reversal of Entry JV-039-011857-22/JV-039-011859-22</t>
  </si>
  <si>
    <t>JV-039-012445-23</t>
  </si>
  <si>
    <t>Value Added Tax @ 5 % : Remarks: Breach of Min Balance : Remarks:  Value Added Tax @ 5 % : Remarks:   Charges-Withdrawals and Chq Deposits Value Added Tax @ 5 % : Remarks:  Charges : Remarks:</t>
  </si>
  <si>
    <t>JV-039-012314-23</t>
  </si>
  <si>
    <t>Being Payment made to VOSTOK TRADING LLC PO-833-000016-23 Chq No 7762</t>
  </si>
  <si>
    <t>JV-039-012315-23</t>
  </si>
  <si>
    <t>Being Payment made to AL SHIRAA CONTROL DEVICES TR PO-833-000017-23 Chq No 7763</t>
  </si>
  <si>
    <t>JV-039-012470-23</t>
  </si>
  <si>
    <t>Inward Remittance : Remarks: SRN:FT2309385200 Fund transfer OUR /AE600351031001005614010 DANUBE BUILDING MATERIALS FZCO /REF/INV 833 00000008 23 INV 833 00 000011 23 SRN:FT2309385200  DANUBE</t>
  </si>
  <si>
    <t>JV-039-012542-23</t>
  </si>
  <si>
    <t>Inward Remittance : Remarks: SRN:000094317610 Fund transfer OUR /AE980400000183014171001 /009/004 LITTLE KINGDOM EARLY CHILD /REF/GOODS BOUGHT/LKECC CCTV SHIFT SRN:000094317610</t>
  </si>
  <si>
    <t>JV-039-012418-23</t>
  </si>
  <si>
    <t>AL SHIRAA CONTROL DEVICES TR Inward Clearing Cheque INWARD CLEARING-007684</t>
  </si>
  <si>
    <t>Inward Clearing Cheque INWARD CLEARING-007684</t>
  </si>
  <si>
    <t>JV-039-012409-23</t>
  </si>
  <si>
    <t>AL SHIRAA CONTROL DEVICES TR Inward Clearing Cheque INWARD CLEARING-007650</t>
  </si>
  <si>
    <t>JV-039-012446-23</t>
  </si>
  <si>
    <t>VAT PAYMENT FOR THE QTR-DEC'21-FEB'22 CASH-VAT Chq No 1975</t>
  </si>
  <si>
    <t>BHATIA BROTHERS FZE VAT DEC 22- FEB 23 Inward Clearing Cheque INWARD CLEARING-007758</t>
  </si>
  <si>
    <t>JV-039-012398-23</t>
  </si>
  <si>
    <t>Statement Charges 010490925957</t>
  </si>
  <si>
    <t>JV-039-012544-23</t>
  </si>
  <si>
    <t>JV-039-012452-23</t>
  </si>
  <si>
    <t>JAN 23 WPS SALARY EXCEPT TO BE REPROCESSED AS SHARAF MENTIONED WRONG MONTH AS DEC 22 WHILE PROCESSING JAN 23   Inward Clearing Cheque INWARD CLEARING-007767</t>
  </si>
  <si>
    <t>JV-039-012411-23</t>
  </si>
  <si>
    <t>AL BAYARD SECURITY CONSULTANTS Inward Clearing Cheque INWARD CLEARING-007728</t>
  </si>
  <si>
    <t>JV-039-012471-23</t>
  </si>
  <si>
    <t>Inward Remittance FUND TRANSFER SHA /AE020400000362061892001 /006/003 IT MAX GLOBAL DMCC /REF/GOODS BOUGHT/ SRN:000094803595</t>
  </si>
  <si>
    <t>JV-039-012328-23</t>
  </si>
  <si>
    <t>Being Payment made to V V &amp; SONS LLC For JAFZA WAREHOUSE RENT ALLOCATION FOR THE YEAR 2023-2024 Chq No 7769</t>
  </si>
  <si>
    <t>JV-039-012543-23</t>
  </si>
  <si>
    <t>ATM/CCDM Cash Deposit SCU10701 002457 010490925957 784197021827619  JAN 23 WPS DEPOSITED BACK</t>
  </si>
  <si>
    <t>JV-039-012399-23</t>
  </si>
  <si>
    <t>LULU INTERNATIONAL EXCHANGE LLC wps salary month of Feb  Inward Clearing Cheque INWARD CLEARING-007760</t>
  </si>
  <si>
    <t>JV-039-012217-23</t>
  </si>
  <si>
    <t>GREENWAVE SOLAR ENERGY SYSTEMS TRADING LLC CHQ NO 007670</t>
  </si>
  <si>
    <t>JV-039-012356-23</t>
  </si>
  <si>
    <t>WPS for the month 21-03-2023 to 20-04-23 Due on 10th May</t>
  </si>
  <si>
    <t>WPS for the month 21-03-2023 to 20-04-23</t>
  </si>
  <si>
    <t>JV-039-012354-23</t>
  </si>
  <si>
    <t>Being payment made to BHATIA BROTHERS FZE for Replacement of Head Office IT Room UPS Motherboard Chq No 007765</t>
  </si>
  <si>
    <t>JV-039-012472-23</t>
  </si>
  <si>
    <t>Outward Clearing Cheque OUTWARD CLEARING-710196  Safeer mall</t>
  </si>
  <si>
    <t>JV-039-012355-23</t>
  </si>
  <si>
    <t>Being payment made to Kishan for Medical Reimbursment Chq No 7773</t>
  </si>
  <si>
    <t>JV-039-012447-23</t>
  </si>
  <si>
    <t>INFOQUEST LLC Inward Clearing Cheque INWARD CLEARING-007746</t>
  </si>
  <si>
    <t>JV-039-012412-23</t>
  </si>
  <si>
    <t>INFOQUEST LLC Inward Clearing Cheque INWARD CLEARING-007735</t>
  </si>
  <si>
    <t>JV-039-012473-23</t>
  </si>
  <si>
    <t>Inward Remittance FUND TRANSFER OUR /AE020400000362061892001 /006/003 IT MAX GLOBAL DMCC /REF/GOODS BOUGHT/ SRN:000096670857</t>
  </si>
  <si>
    <t>JV-039-012362-23</t>
  </si>
  <si>
    <t>Being Payment made to AL SHIRAA CONTROL DEVICES TR PO-833-000020-23 Chq No 7775</t>
  </si>
  <si>
    <t>JV-039-012415-23</t>
  </si>
  <si>
    <t>OMAN INSURANCE COMPANY PSC Cheque Transaction INSTRUMENT AMOUNT007616</t>
  </si>
  <si>
    <t>JV-039-012329-23</t>
  </si>
  <si>
    <t>Being Payment made to V V &amp; SONS LLC For JAFZA WAREHOUSE RENT ALLOCATION FOR THE YEAR 2023-2024 Chq No 7770</t>
  </si>
  <si>
    <t>JV-039-012363-23</t>
  </si>
  <si>
    <t>Being Payment made to BHATIA BROTHERS FZE for GD -RECRUITMENT SALES COORDINATOR -Meenakshi  Chq No 7776</t>
  </si>
  <si>
    <t>JV-039-012218-23</t>
  </si>
  <si>
    <t>GREENWAVE SOLAR ENERGY SYSTEMS TRADING LLC CHQ NO 007736</t>
  </si>
  <si>
    <t>JV-039-012364-23</t>
  </si>
  <si>
    <t>Being Payment made to Yakoob for Advance, Medical and Office stationary Reimbursments Chq No 7777</t>
  </si>
  <si>
    <t>Payment</t>
  </si>
  <si>
    <t>PYMT-833-000001-23</t>
  </si>
  <si>
    <t>36977 AL SAFEER INT LLC (S10 - 186)</t>
  </si>
  <si>
    <t>Outward Clearing Cheque OUTWARD CLEARING-507038</t>
  </si>
  <si>
    <t>003096-S10R-Kaviraj Gopalakrishnan</t>
  </si>
  <si>
    <t>Pending Approval</t>
  </si>
  <si>
    <t>JV-039-012539-23</t>
  </si>
  <si>
    <t>Inward Clearing Cheque INWARD CLEARING-007762  Abdul Karim leave salary</t>
  </si>
  <si>
    <t>JV-039-012474-23</t>
  </si>
  <si>
    <t>"Inward Remittance FUND TRANSFER OUR /AE600351031001005614010  DANUBE BUILDING MATERIALS FZCO /REF/ INV 833 00000016 23 SRN:FT23137024HT"</t>
  </si>
  <si>
    <t>JV-039-012416-23</t>
  </si>
  <si>
    <t>AL SHIRAA CONTROL DEVICES TR Inward Clearing Cheque INWARD CLEARING-007700</t>
  </si>
  <si>
    <t>JV-039-012365-23</t>
  </si>
  <si>
    <t>Being Payment made to Al Shiraa Control Devices TR for PO-833-000021-23 Chq No 7778 and PO -833-000023-23 Chq No 7780</t>
  </si>
  <si>
    <t>JV-039-012366-23</t>
  </si>
  <si>
    <t>Being Payment made to AL AHYAN INTERNATIONAL LLC for PO-833-000022-23 Chq No 7779</t>
  </si>
  <si>
    <t>JV-039-012372-23</t>
  </si>
  <si>
    <t>Being Payment made for GD Establishment Card Renewal Chq NO 7779</t>
  </si>
  <si>
    <t>JV-039-012373-23</t>
  </si>
  <si>
    <t>Being Payment made to Bhatia Brothers FZE for GD Share of Al Quiz Lease Renewal Chq No  7780</t>
  </si>
  <si>
    <t>JV-039-012374-23</t>
  </si>
  <si>
    <t>WPS for the month of may Due on 10th June - Cheque No.007781, 007781</t>
  </si>
  <si>
    <t>JV-039-012376-23</t>
  </si>
  <si>
    <t>Being Payment made as Expert Fees for Mohammed Shafi Labor Case Chq No 7784</t>
  </si>
  <si>
    <t>JV-039-012794-24</t>
  </si>
  <si>
    <t>REVERSAL OF JV-039-012375-23 Being Payment made as Lawyer Fees for Mohammed Shafi Labor Case Chq No 77783</t>
  </si>
  <si>
    <t>JV-039-012793-24</t>
  </si>
  <si>
    <t>REVERSAL OF JV-039-012376-23-Being Payment made as Expert Fees for Mohammed Shafi Labor Case Chq No 7784</t>
  </si>
  <si>
    <t>JV-039-012375-23</t>
  </si>
  <si>
    <t>Being Payment made as Lawyer Fees for Mohammed Shafi Labor Case Chq No 77783</t>
  </si>
  <si>
    <t>JV-039-012507-23</t>
  </si>
  <si>
    <t>Outward Clearing Cheque OUTWARD CLEARING-005343</t>
  </si>
  <si>
    <t>JV-039-012508-23</t>
  </si>
  <si>
    <t>Outward Clearing Cheque OUTWARD CLEARING-005344</t>
  </si>
  <si>
    <t>JV-039-012378-23</t>
  </si>
  <si>
    <t>Being Payment made as Lawyer Fees for Sadikh Lebba Labor Case Chq No 77786</t>
  </si>
  <si>
    <t>PYMT-833-000002-23</t>
  </si>
  <si>
    <t>45738 MEZOTIC GENERAL TRADING LLC</t>
  </si>
  <si>
    <t>Outward Clearing Cheque OUTWARD CLEARING-000463</t>
  </si>
  <si>
    <t>JV-039-012796-24</t>
  </si>
  <si>
    <t>REVERSAL OF JV-039-012379-23Being Payment made as Court Fees for Sadikh Lebba Labor Case Chq No 7787</t>
  </si>
  <si>
    <t>JV-039-012552-23</t>
  </si>
  <si>
    <t>BANK CHARGES</t>
  </si>
  <si>
    <t>JV-039-012377-23</t>
  </si>
  <si>
    <t>Being payment made to Bhatia Brothers FZE for GD Share of Netsuite Payment Chq No 7785</t>
  </si>
  <si>
    <t>JV-039-012379-23</t>
  </si>
  <si>
    <t>Being Payment made as Court Fees for Sadikh Lebba Labor Case Chq No 7787</t>
  </si>
  <si>
    <t>JV-039-012550-23</t>
  </si>
  <si>
    <t>JV-039-012549-23</t>
  </si>
  <si>
    <t>REVERSAL JV-039-012374-23 WPS for the month of may Due on 10th June - Cheque No.007781, 007781</t>
  </si>
  <si>
    <t>JV-039-012795-24</t>
  </si>
  <si>
    <t>REVERSAL OF JV-039-012378-23-Being Payment made as Lawyer Fees for Sadikh Lebba Labor Case Chq No 77786</t>
  </si>
  <si>
    <t>JV-039-012491-23</t>
  </si>
  <si>
    <t>Value Added Tax @ 5 % 010490925957 Charges-Withdrawals and Chq Deposits 010490925957</t>
  </si>
  <si>
    <t>JV-039-012492-23</t>
  </si>
  <si>
    <t>Inward Clearing Cheque INWARD CLEARING-007748 AL SHIRAA CONTROL DEVICES TR</t>
  </si>
  <si>
    <t>JV-039-012493-23</t>
  </si>
  <si>
    <t>Inward Clearing Cheque INWARD CLEARING-007747 AL SHIRAA CONTROL DEVICES TR MIRF-009-2023</t>
  </si>
  <si>
    <t>JV-039-012494-23</t>
  </si>
  <si>
    <t>Inward Clearing Cheque INWARD CLEARING-007761 PRESSANNA PILLAI VISA BHATIA BROTHERS FZE</t>
  </si>
  <si>
    <t>JV-039-012495-23</t>
  </si>
  <si>
    <t>KAVIRAJ LEAVE SALARY Inward Clearing Cheque INWARD CLEARING-007774  SHARAF EXCHNAGE LLC</t>
  </si>
  <si>
    <t>JV-039-012496-23</t>
  </si>
  <si>
    <t>Being payment made to Real TFS FZC Real HRMS Tool - GD Share Chq No 007689</t>
  </si>
  <si>
    <t>JV-039-012330-23</t>
  </si>
  <si>
    <t>Being Payment made to BHATIA BROTHERS FZE  For JAFZA WAREHOUSE RENT ALLOCATION FOR THE YEAR 2023-2024 Chq No 7771</t>
  </si>
  <si>
    <t>JV-039-012389-23</t>
  </si>
  <si>
    <t>Being Payment made to Meenakshi as HRA Salary Advance for Relocation Chq No 7790</t>
  </si>
  <si>
    <t>JV-039-012388-23</t>
  </si>
  <si>
    <t>Being Payment made to Sukoon Insurance for Kishan Group Medical  Chq No 7789</t>
  </si>
  <si>
    <t>JV-039-012423-23</t>
  </si>
  <si>
    <t>WPS for the month of June Due on 10th July - Cheque No 007793,7794</t>
  </si>
  <si>
    <t>JV-039-012490-23</t>
  </si>
  <si>
    <t>Inward Remittance FUND TRANSFER OUR /AE020400000362061892001 /006/003 IT MAX GLOBAL DMCC /REF/GOODS BOUGHT/ SRN:000116999393</t>
  </si>
  <si>
    <t>JV-039-012931-24</t>
  </si>
  <si>
    <t>Bank charges dedcuted</t>
  </si>
  <si>
    <t>JV-039-012428-23</t>
  </si>
  <si>
    <t>Being Payment made to VOSTOK TRADING LLC for PO-833-000026-23 Chq No 007801</t>
  </si>
  <si>
    <t>JV-039-012424-23</t>
  </si>
  <si>
    <t>VAT PAYMENT for March to May 2023 Chq No 7796</t>
  </si>
  <si>
    <t>JV-039-012425-23</t>
  </si>
  <si>
    <t>Being Payment made to Al Shiraa Control Devices TR for PO-833-000024-23 Chq No 007797</t>
  </si>
  <si>
    <t>JV-039-012427-23</t>
  </si>
  <si>
    <t>Being Payment made to SAMCOM MEA DISTRIBUTION CENTRE INC for PO-833-000027-23 Chq No 007800</t>
  </si>
  <si>
    <t>JV-039-012426-23</t>
  </si>
  <si>
    <t>Being Payment made to SKYVIEW SURVEILLANCE &amp; ALARM SYSTEM for PO-833-000025-23 Chq No 007798 and PO-833-000028-23 Chq No 007799</t>
  </si>
  <si>
    <t>Being Payment made to SKYVIEW SURVEILLANCE &amp; ALARM SYSTEM for PO-833-000025-23 Chq No 007798</t>
  </si>
  <si>
    <t>JV-039-012516-23</t>
  </si>
  <si>
    <t>Being Payment made to BHATIA BROTHERS FZE for Payments towards Visa Renewal for sales engineer  Chq No 007699</t>
  </si>
  <si>
    <t>JV-039-012265-23</t>
  </si>
  <si>
    <t>Being payment made for GD Share- Google Workspace Allocation 2023-24 Chq No 7751</t>
  </si>
  <si>
    <t>JV-039-012331-23</t>
  </si>
  <si>
    <t>Being Payment made to BHATIA BROTHERS FZE  For JAFZA WAREHOUSE RENT ALLOCATION FOR THE YEAR 2023-2024 Chq No 7772</t>
  </si>
  <si>
    <t>JV-039-012450-23</t>
  </si>
  <si>
    <t>Being Payment made to Sky View Surveillance and Alarm Systems for PO-833-000032-23 Chq No 007817,7831,7832 &amp;7833</t>
  </si>
  <si>
    <t>JV-039-012451-23</t>
  </si>
  <si>
    <t>Being Payment made to SIRA Dubai Police for PO-833-000031-23 Chq No 007816</t>
  </si>
  <si>
    <t>JV-039-012478-23</t>
  </si>
  <si>
    <t>#Chq No. 7822, payment against Invoice #11012</t>
  </si>
  <si>
    <t>JV-039-012482-23</t>
  </si>
  <si>
    <t>#Chq No. 7818, payment against  QUOT-968-001971-22REV3</t>
  </si>
  <si>
    <t>JV-039-012479-23</t>
  </si>
  <si>
    <t>#Chq No. 7821, payment against Quotation #11005</t>
  </si>
  <si>
    <t>JV-039-012481-23</t>
  </si>
  <si>
    <t>#Chq No. 7819, payment against  #9014 Rvsd_001</t>
  </si>
  <si>
    <t>JV-039-012551-23</t>
  </si>
  <si>
    <t>Outward Clearing Cheque OUTWARD CLEARING-009294  SRG PROPERTIES LLC</t>
  </si>
  <si>
    <t>JV-039-012480-23</t>
  </si>
  <si>
    <t>#Chq No. 7820, Being payment against PO_ : 12009</t>
  </si>
  <si>
    <t>JV-039-012499-23</t>
  </si>
  <si>
    <t>Being Payment made to AL AHYAN INTERNATIONAL LLC for PO-833-000022-23 Chq No 7825,7826</t>
  </si>
  <si>
    <t>JV-039-012498-23</t>
  </si>
  <si>
    <t>AL SHIRAA CONTROL DEVICES TR</t>
  </si>
  <si>
    <t>36977 AL SAFEER INT LLC (S10 - 186) Outward Clearing Cheque OUTWARD CLEARING-000597</t>
  </si>
  <si>
    <t>Outward Clearing Cheque OUTWARD CLEARING-000597</t>
  </si>
  <si>
    <t>JV-039-012497-23</t>
  </si>
  <si>
    <t>#Chq No. 7827 payment against Quotation Q-AAi-AB1122-R0</t>
  </si>
  <si>
    <t>JV-039-012501-23</t>
  </si>
  <si>
    <t>WPS for the month of June Due on 10th Aug - Cheque No 007844,7837</t>
  </si>
  <si>
    <t>JV-039-012500-23</t>
  </si>
  <si>
    <t>VVS PRO Fund assistance repayment Chequ No.007835,007834</t>
  </si>
  <si>
    <t>JV-039-012929-24</t>
  </si>
  <si>
    <t>Reversal of JV-039-012328-23/JV-039-012329-23/JV-039-012330-23/JV-039-012331-23</t>
  </si>
  <si>
    <t>JV-039-012909-24</t>
  </si>
  <si>
    <t>Intercomapny Payment Received from VVSPRO</t>
  </si>
  <si>
    <t>JV-039-012904-24</t>
  </si>
  <si>
    <t>Outward Clearing Cheque OUTWARD CLEARING-710402</t>
  </si>
  <si>
    <t>JV-039-012726-24</t>
  </si>
  <si>
    <t>JV-039-012727-24</t>
  </si>
  <si>
    <t>Inward Clearing Cheque INWARD CLEARING-007678 /007676  AIRPORT ROAD RENT 2023-GD SHARE 3RD INSTALLMENT</t>
  </si>
  <si>
    <t>JV-039-012515-23</t>
  </si>
  <si>
    <t>Being Payment made to Sky View Surveillance and Alarm Systems for PO-833-000036-23 MIRF-029-2023 Chq No 007843</t>
  </si>
  <si>
    <t>JV-039-012512-23</t>
  </si>
  <si>
    <t>Being Payment made to Bur Dubai Computer Services for PO-833-000033-23 MIRF-026-2023 Chq No 007840</t>
  </si>
  <si>
    <t>JV-039-012513-23</t>
  </si>
  <si>
    <t>Being Payment made to VOSTOK IT, Security, Telephony Solutions for PO-833-000034-23 MIRF-027-2023 Chq No 007841</t>
  </si>
  <si>
    <t>JV-039-012835-24</t>
  </si>
  <si>
    <t>REV#JV-039-012512-23#Being Payment made to Bur Dubai Computer Services for PO-833-000033-23 MIRF-026-2023 Chq No 007840</t>
  </si>
  <si>
    <t>JV-039-012514-23</t>
  </si>
  <si>
    <t>Being Payment made to Al Bayard Security Consultants for PO-833-000035-23 MIRF-028-2023 Chq No 007842</t>
  </si>
  <si>
    <t>JV-039-012691-24</t>
  </si>
  <si>
    <t>Inward Clearing Cheque INWARD CLEARING-007838</t>
  </si>
  <si>
    <t>JV-039-012517-23</t>
  </si>
  <si>
    <t>WPS for the month of Aug Due on 10th Sept - Cheque No 007846,7847</t>
  </si>
  <si>
    <t>JV-039-012911-24</t>
  </si>
  <si>
    <t>Rev#JV-039-012519-23#Being payment made to Bhatia Brothers FZE for Division wise share for Project Database Chq No 7849</t>
  </si>
  <si>
    <t>Being payment made to Bhatia Brothers FZE for Division wise share for Project Database Chq No 7849</t>
  </si>
  <si>
    <t>JV-039-012518-23</t>
  </si>
  <si>
    <t>Being payment made to BB ISD EPC for Division wise share of Trade Liscence 2023-24 Chq No 7848</t>
  </si>
  <si>
    <t>JV-039-012910-24</t>
  </si>
  <si>
    <t>Rev#JV-039-012518-23#Being payment made to BB ISD EPC for Division wise share of Trade Liscence 2023-24 Chq No 7848</t>
  </si>
  <si>
    <t>JV-039-012519-23</t>
  </si>
  <si>
    <t>JV-039-012784-24</t>
  </si>
  <si>
    <t>REVERSAL OF JV-039-012518-23-Being payment made to BB ISD EPC for Division wise share of Trade Liscence 2023-24 Chq No 7848</t>
  </si>
  <si>
    <t>REVERSAL OF JV-039-012518-23 Being payment made to BB ISD EPC for Division wise share of Trade Liscence 2023-24 Chq No 7848</t>
  </si>
  <si>
    <t>JV-039-012912-24</t>
  </si>
  <si>
    <t>Rev#JV-039-012604-23#Being insurance charges booked for OIC(Insur)Tesla</t>
  </si>
  <si>
    <t>Being insurance charges booked for OIC(Insur)Tesla</t>
  </si>
  <si>
    <t>JV-039-012604-23</t>
  </si>
  <si>
    <t>JV-039-012692-24</t>
  </si>
  <si>
    <t>Cheque Deposit INSTRUMENT AMOUNT018474</t>
  </si>
  <si>
    <t>JV-039-012613-23</t>
  </si>
  <si>
    <t>BEING PAYMENT FOR PETTY CASH EXPENSES FOR THE MONTH OF July and august CHEQUE NO 7901</t>
  </si>
  <si>
    <t>BEING PAYMENT FOR PETTY CASH EXPENSES FOR THE MONTH OF July-23 CHEQUE NO 7840</t>
  </si>
  <si>
    <t>JV-039-012522-23</t>
  </si>
  <si>
    <t>Being payment made to Mr Abdulrahman as Sponsorship Fees Chq No 7852</t>
  </si>
  <si>
    <t>JV-039-012801-24</t>
  </si>
  <si>
    <t>rectification of JV-039-012522-23-Being payment made to Mr Abdulrahman as Sponsorship Fees Chq No 7852</t>
  </si>
  <si>
    <t>JV-039-012520-23</t>
  </si>
  <si>
    <t>#CHQ NO. 007850, "PAYMENT TO DUBAI INSURANCE TOWARDS MEDICAL INSURANCE FOR 1ST INSTALLMENT"2023-2024</t>
  </si>
  <si>
    <t>JV-039-012530-23</t>
  </si>
  <si>
    <t>Being Payment made to High Grow General Trading LLC for PO-833-000038-23 MIRF-030-2023 Chq No 007853</t>
  </si>
  <si>
    <t>JV-039-012923-24</t>
  </si>
  <si>
    <t>Rev#JV-039-012548-23#Being payment made to VV and Sons LLC for GD Share of ETISALAT Active Account 2023 Chq No 7854</t>
  </si>
  <si>
    <t>Being payment made to VV and Sons LLC for GD Share of ETISALAT Active Account 2023 Chq No 7854</t>
  </si>
  <si>
    <t>JV-039-012548-23</t>
  </si>
  <si>
    <t>JV-039-012693-24</t>
  </si>
  <si>
    <t>Outward clearing cheque OUTWARD Clearing-001877  Received From Chairman (Personal use)</t>
  </si>
  <si>
    <t>JV-039-012564-23</t>
  </si>
  <si>
    <t>Being Payment made for Purchase of HRMS Software Bayzat Division Wise Share Chq No 7864</t>
  </si>
  <si>
    <t>JV-039-012731-24</t>
  </si>
  <si>
    <t>Inward Clearing Cheque INWARD CLEARING-007805  Paid to Chairman for Personal Use (Car Purchase)</t>
  </si>
  <si>
    <t>JV-039-012695-24</t>
  </si>
  <si>
    <t>Outward clearing cheque  OUTWARD CLEARING-000291 Latinem Facilities Management</t>
  </si>
  <si>
    <t>Outward Clearing Cheque OUTWARD CLEARING-507617  Al Safeer International</t>
  </si>
  <si>
    <t>JV-039-012913-24</t>
  </si>
  <si>
    <t>Rev#JV-039-012266-23#Being payment made for GD Share- Google Workspace Allocation 2023-24 Chq No 7752</t>
  </si>
  <si>
    <t>Being payment made for GD Share- Google Workspace Allocation 2023-24 Chq No 7752</t>
  </si>
  <si>
    <t>JV-039-012694-24</t>
  </si>
  <si>
    <t>JV-039-012266-23</t>
  </si>
  <si>
    <t>JV-039-011813-22</t>
  </si>
  <si>
    <t>#Chq No. 7680, AIRPORT ROAD RENT GD SHARE FOR FY 2023- 10th INSTALLMENT</t>
  </si>
  <si>
    <t>JV-039-012732-24</t>
  </si>
  <si>
    <t>Inward Clearing Cheque INWARD CLEARING-007814  Al Shiraa Control Devices</t>
  </si>
  <si>
    <t>JV-039-012696-24</t>
  </si>
  <si>
    <t>Outward Clearing Cheque OUTWARD CLEARING 515511 Ali Gholami Vegetables and Fruits</t>
  </si>
  <si>
    <t>JV-039-012734-24</t>
  </si>
  <si>
    <t>JV-039-012733-24</t>
  </si>
  <si>
    <t>Value Added Tax @ 5 % TAX AMOUNT TAG VAT014_AMT "Commission Liquidation For Guarant ISSUANCE COMMISSION FOR LABOR GUARANTEE"</t>
  </si>
  <si>
    <t>JV-039-012697-24</t>
  </si>
  <si>
    <t>Outward Clearing Cheque OUTWARD CLEARING-009762 SRG Holdings LTD</t>
  </si>
  <si>
    <t>JV-039-012568-23</t>
  </si>
  <si>
    <t>Being payment made to Bhatia Brothers FZE for Salary advance and Travel Reimbursment Chq No. 7868</t>
  </si>
  <si>
    <t>JV-039-012583-23</t>
  </si>
  <si>
    <t>WPS for the month of Sep Due on 10th Oct - Cheque No 007869 007870</t>
  </si>
  <si>
    <t>JV-039-012714-24</t>
  </si>
  <si>
    <t>Outward Clearing Cheque OUTWARD CLEARING-000614 Impulse Trading</t>
  </si>
  <si>
    <t>JV-039-012738-24</t>
  </si>
  <si>
    <t>Inward Clearing Cheque INWARD CLEARING-007828 Al Shiraa Control Devices</t>
  </si>
  <si>
    <t>JV-039-012914-24</t>
  </si>
  <si>
    <t>Rev#JV-039-012585-23#Being Payment made to ALBAYARD SECURITY CONSULTANTS for PO-833-000040-23 Chq No 007872</t>
  </si>
  <si>
    <t>Being Payment made to ALBAYARD SECURITY CONSULTANTS for PO-833-000040-23 Chq No 007872</t>
  </si>
  <si>
    <t>JV-039-012585-23</t>
  </si>
  <si>
    <t>JV-039-012584-23</t>
  </si>
  <si>
    <t>Being Payment made to AL AHYAN INTERNATIONAL LLC for PO-833-000039-23 Chq No 007871</t>
  </si>
  <si>
    <t>JV-039-012715-24</t>
  </si>
  <si>
    <t>Outward Clearing Cheque OUTWARD CLEARING-005409 Inter Chem</t>
  </si>
  <si>
    <t>JV-039-012586-23</t>
  </si>
  <si>
    <t>Being Payment made to ALBAYARD SECURITY CONSULTANTS for PO-833-000041-23 Chq No 7873</t>
  </si>
  <si>
    <t>JV-039-012739-24</t>
  </si>
  <si>
    <t>Inward Clearing Cheque INWARD CLEARING-007831 Sky View Surveillance and Alarm Systems</t>
  </si>
  <si>
    <t>JV-039-012740-24</t>
  </si>
  <si>
    <t>Inward Clearing Cheque INWARD CLEARING-007775 Al Shiraa Control Devices</t>
  </si>
  <si>
    <t>JV-039-012716-24</t>
  </si>
  <si>
    <t>Outward Clearing Cheque OUTWARD CLEARING-009832 SRG Holdings LTD</t>
  </si>
  <si>
    <t>JV-039-012587-23</t>
  </si>
  <si>
    <t>Being Payment made as Lawyer Fees for Sadikh Lebba Labor Case Chq No 7874</t>
  </si>
  <si>
    <t>JV-039-012797-24</t>
  </si>
  <si>
    <t>REVERSAL OF JV-039-012587-23-Being Payment made as Lawyer Fees for Sadikh Lebba Labor Case Chq No 7874</t>
  </si>
  <si>
    <t>JV-039-012741-24</t>
  </si>
  <si>
    <t>Inward Clearing Cheque INWARD CLEARING-007732</t>
  </si>
  <si>
    <t>JV-039-012589-23</t>
  </si>
  <si>
    <t>Being Payment made to Sky View Surveillance and Alarm Systems for PO-833-000032-23 Chq No 007872</t>
  </si>
  <si>
    <t>JV-039-012903-24</t>
  </si>
  <si>
    <t>reversal of JV-039-012589-23-Being Payment made to Sky View Surveillance and Alarm Systems for PO-833-000032-23 Chq No 007872</t>
  </si>
  <si>
    <t>JV-039-012588-23</t>
  </si>
  <si>
    <t>Being Payment made to Sky View Surveillance and Alarm Systems for PO-833-000032-23 Chq No 007871</t>
  </si>
  <si>
    <t>JV-039-012844-24</t>
  </si>
  <si>
    <t>REV#JV-039-012589-23#Being Payment made to Sky View Surveillance and Alarm Systems for PO-833-000032-23 Chq No 007872</t>
  </si>
  <si>
    <t>JV-039-012590-23</t>
  </si>
  <si>
    <t>Being payment made for Division-wise Share of Software purchase Chq no-7875</t>
  </si>
  <si>
    <t>JV-039-012717-24</t>
  </si>
  <si>
    <t>Outward Clearing Cheque OUTWARD CLEARING-001968 Car EMI Received from Chairman for his personal use</t>
  </si>
  <si>
    <t>JV-039-012742-24</t>
  </si>
  <si>
    <t>4DDS Payment 41000004392023000072690EBI001:5022310160005319:IRATESNBD RETAIL LOANS4DDS Payment 41000004392023000072690EBI001:5022310160005319:IRATESNBD RETAIL LOANS  Car EMI Paid for Chairman for his personal use</t>
  </si>
  <si>
    <t>JV-039-012735-24</t>
  </si>
  <si>
    <t>JV-039-012594-23</t>
  </si>
  <si>
    <t>Being payment made to Bhatia Brothers FZE for GD Share of Netsuite Payment Chq No 7879</t>
  </si>
  <si>
    <t>JV-039-012593-23</t>
  </si>
  <si>
    <t>Being payment made to Bhatia Brothers FZE for Leave Salary of Prasanna Pillai Chq No 7878</t>
  </si>
  <si>
    <t>JV-039-012591-23</t>
  </si>
  <si>
    <t>Being Payment made for SIRA Certificate of Compliance Chq No 7877</t>
  </si>
  <si>
    <t>JV-039-012916-24</t>
  </si>
  <si>
    <t>Rev#JV-039-012594-23#Being payment made to Bhatia Brothers FZE for GD Share of Netsuite Payment Chq No 7879</t>
  </si>
  <si>
    <t>JV-039-012915-24</t>
  </si>
  <si>
    <t>Rev#JV-039-012591-23#Being Payment made for SIRA Certificate of Compliance Chq No 7877</t>
  </si>
  <si>
    <t>JV-039-012718-24</t>
  </si>
  <si>
    <t>"Inward Remittance FUND TRANSFER OUR / AE600351031001005614010 DANUBE BUILDING MATERIALS FZCO / REF/PRO 006/2023 PRO 007 2023 SRN:FT232936HG6H"</t>
  </si>
  <si>
    <t>JV-039-012606-23</t>
  </si>
  <si>
    <t>Being insurance charges booked for AGMC(BMW)Chgr for Registration</t>
  </si>
  <si>
    <t>JV-039-012917-24</t>
  </si>
  <si>
    <t>Rev#JV-039-012606-23#Being insurance charges booked for AGMC(BMW)Chgr for Registration</t>
  </si>
  <si>
    <t>JV-039-012595-23</t>
  </si>
  <si>
    <t>Being payment as GD share of Audit Fees for Deloitte Chq No 7880</t>
  </si>
  <si>
    <t>JV-039-012605-23</t>
  </si>
  <si>
    <t>Being insurance charges booked for RSA-Insur(MG)</t>
  </si>
  <si>
    <t>JV-039-012919-24</t>
  </si>
  <si>
    <t>Rev#JV-039-012605-23#Being insurance charges booked for RSA-Insur(MG)</t>
  </si>
  <si>
    <t>JV-039-012918-24</t>
  </si>
  <si>
    <t>Rev#JV-039-012595-23#Being payment as GD share of Audit Fees for Deloitte Chq No 7880</t>
  </si>
  <si>
    <t>JV-039-012597-23</t>
  </si>
  <si>
    <t>WPS for the month of Sep Due on 10th Oct - Cheque No 007881 7882</t>
  </si>
  <si>
    <t>WPS for the month of Oct Due on 10th Nov - Cheque No 007881 7882</t>
  </si>
  <si>
    <t>JV-039-012920-24</t>
  </si>
  <si>
    <t>#JV-039-012600-23#Being VAT Payment reimbursed to Chairman for Car Purchase Aug 2023 Chq No 7887 7888 7889</t>
  </si>
  <si>
    <t>Being VAT Payment reimbursed to Chairman for Car Purchase Aug 2023 Chq No 7887 7888 7889</t>
  </si>
  <si>
    <t>JV-039-012600-23</t>
  </si>
  <si>
    <t>JV-039-012602-23</t>
  </si>
  <si>
    <t>Being Payment made to Al Shiraa Control Devices TR for PO-833-000043-23 Chq No 7884</t>
  </si>
  <si>
    <t>JV-039-012601-23</t>
  </si>
  <si>
    <t>Being Payment made to SKYVIEW SURVEILLANCE &amp; ALARM SYSTEM for PO-833-000042-23 Chq No 7883</t>
  </si>
  <si>
    <t>JV-039-012603-23</t>
  </si>
  <si>
    <t>Being Payment made to Vostok IT, Security and Telephony Solution for PO-833-000044-23 Chq No 7885</t>
  </si>
  <si>
    <t>JV-039-012901-24</t>
  </si>
  <si>
    <t>Reversal of JV-039-012601-23 -Being Payment made to SKYVIEW SURVEILLANCE &amp; ALARM SYSTEM for PO-833-000042-23 Chq No 7883</t>
  </si>
  <si>
    <t>JV-039-012267-23</t>
  </si>
  <si>
    <t>Being payment made for GD Share- Google Workspace Allocation 2023-24 Chq No 7753</t>
  </si>
  <si>
    <t>JV-039-012719-24</t>
  </si>
  <si>
    <t>JV-039-012905-24</t>
  </si>
  <si>
    <t>Outward Clearing Cheque OUTWARD CLEARING-00201 Received from Chairman for his personal use</t>
  </si>
  <si>
    <t>Outward Clearing Cheque OUTWARD CLEARING-002052 Car EMI Received from Chairman for his personal use</t>
  </si>
  <si>
    <t>JV-039-012610-23</t>
  </si>
  <si>
    <t>Full &amp; Final settlemet of Mr. Yakoob - Cheque No.7897</t>
  </si>
  <si>
    <t>JV-039-012907-24</t>
  </si>
  <si>
    <t>DDS Payment 41000004392023000072690EBI002:5022311160004198: EMIRATES NBD RETAIL LOANS EMI Paid for Chairman for his personal use</t>
  </si>
  <si>
    <t>JV-039-012720-24</t>
  </si>
  <si>
    <t>Outward Clearing Cheque OUTWARD CLEARING-010093 SRG Holdings LTD</t>
  </si>
  <si>
    <t>JV-039-012746-24</t>
  </si>
  <si>
    <t>Inward Clearing Cheque INWARD CLEARING-007893</t>
  </si>
  <si>
    <t>JV-039-012745-24</t>
  </si>
  <si>
    <t>"Inward Clearing Cheque INWARD CLEARING-007830 " VOSTOK TRADING LLC</t>
  </si>
  <si>
    <t>JV-039-012747-24</t>
  </si>
  <si>
    <t>Being payment made for GD Share of Etisalat Allocation Bill Payment for Sep 2023 Chq no-007876</t>
  </si>
  <si>
    <t>JV-039-012611-23</t>
  </si>
  <si>
    <t>WPS for the month of Nov Due on 10th Dec - Cheque No  7898 &amp; 7899</t>
  </si>
  <si>
    <t>JV-039-012748-24</t>
  </si>
  <si>
    <t>Inward Clearing Cheque INWARD CLEARING-007896 Kaviraj Visa renewal</t>
  </si>
  <si>
    <t>JV-039-012614-23</t>
  </si>
  <si>
    <t>Being Payment made as Lawyer Fees for Shafi Labor Case Chq No 7902,7903&amp;7904</t>
  </si>
  <si>
    <t>JV-039-012788-24</t>
  </si>
  <si>
    <t>REVERSAL OF JV-039-012614-23-Being Payment made as Lawyer Fees for Shafi Labor Case Chq No 7902,7903&amp;7904</t>
  </si>
  <si>
    <t>JV-039-012921-24</t>
  </si>
  <si>
    <t>Rev#JV-039-012616-23#Being Payment made to Dubai Electricity and water Authority HO Dewa Bill for  Nov -23 Chq no -7906</t>
  </si>
  <si>
    <t>,Being Payment made to Dubai Electricity and water Authority HO Dewa Bill for  Nov -23 Chq no -7906</t>
  </si>
  <si>
    <t>JV-039-012616-23</t>
  </si>
  <si>
    <t>JV-039-012615-23</t>
  </si>
  <si>
    <t>Being payment made to Connect Us Portal  Services LLP for Gulf Detection Website Dues Chq No 7905</t>
  </si>
  <si>
    <t>JV-039-012927-24</t>
  </si>
  <si>
    <t>Reversal of JV-039-012615-23-Being payment made to Connect Us Portal  Services LLP for Gulf Detection Website Dues Chq No 7905</t>
  </si>
  <si>
    <t>JV-039-012928-24</t>
  </si>
  <si>
    <t>Outward Clearing Cheque OUTWARD CLEARING-010147 SRG Holdings LTD</t>
  </si>
  <si>
    <t>JV-039-012922-24</t>
  </si>
  <si>
    <t>Rev#JV-039-012565-23#Being Payment made for Purchase of HRMS Software Bayzat Division Wise Share Chq No 7865</t>
  </si>
  <si>
    <t>Being Payment made for Purchase of HRMS Software Bayzat Division Wise Share Chq No 7865</t>
  </si>
  <si>
    <t>JV-039-012565-23</t>
  </si>
  <si>
    <t>JV-039-012617-23</t>
  </si>
  <si>
    <t>Being Payment made to Al Shiraa Control Devices TR for PO-833-000045-23 Chq No 7907</t>
  </si>
  <si>
    <t>JV-039-012847-24</t>
  </si>
  <si>
    <t>Rev#JV-039-012617-23#Being Payment made to Al Shiraa Control Devices TR for PO-833-000045-23 Chq No 7907</t>
  </si>
  <si>
    <t>JV-039-012722-24</t>
  </si>
  <si>
    <t>JV-039-012521-23</t>
  </si>
  <si>
    <t>#CHQ NO. 007851, "PAYMENT TO DUBAI INSURANCE TOWARDS MEDICAL INSURANCE FOR 2ND INSTALLMENT"</t>
  </si>
  <si>
    <t>JV-039-012906-24</t>
  </si>
  <si>
    <t>DDS Rejection 41000004392023000072690EBI003:5022312160007569:EMIRATES NBD RETAIL LOANS:I:INSUFFICIENT FUNDS</t>
  </si>
  <si>
    <t>JV-039-012743-24</t>
  </si>
  <si>
    <t>"DDS Rejection 41000004392023000072690EBI003:5022312160007569:EMIRATES NBD RETAIL LOANS:I:INSUFFICIENT FUNDS"</t>
  </si>
  <si>
    <t>JV-039-012925-24</t>
  </si>
  <si>
    <t>Rev of JV-039-012626-23-Being Payment made as Sadiq labba Final settlement of court payment and execution fee Chq No7925</t>
  </si>
  <si>
    <t>JV-039-012736-24</t>
  </si>
  <si>
    <t>BEING BANK CHARGES BOOKED FOR THE MONTH OF DEC-23</t>
  </si>
  <si>
    <t>JV-039-012723-24</t>
  </si>
  <si>
    <t>Outward Clearing Cheque OUTWARD CLEARING-010244 SRG Holdings LTD</t>
  </si>
  <si>
    <t>JV-039-012626-23</t>
  </si>
  <si>
    <t>Being Payment made as Sadiq labba Final settlement of court payment and execution fee Chq No7925</t>
  </si>
  <si>
    <t>JV-039-012798-24</t>
  </si>
  <si>
    <t>REVRESAL OF JV-039-012626-23*Being Payment made as Sadiq labba Final settlement of court payment and execution fee Chq No7925</t>
  </si>
  <si>
    <t>JV-039-012724-24</t>
  </si>
  <si>
    <t>Outward Clearing Cheque OUTWARD CLEARING-005451 Inter Chem Terminal</t>
  </si>
  <si>
    <t>JV-039-012725-24</t>
  </si>
  <si>
    <t>Outward Clearing Cheque OUTWARD CLEARING-002061 Fund Assistance from VVS PRO</t>
  </si>
  <si>
    <t>JV-039-012749-24</t>
  </si>
  <si>
    <t>Inward Clearing Cheque INWARD CLEARING-007894  Al Shiraa Control Devices- Supplier Payment</t>
  </si>
  <si>
    <t>JV-039-012744-24</t>
  </si>
  <si>
    <t>DDS Payment 41000004392023000072690EBI003:5022312270004285:EMIRATES NBD RETAIL LOANS</t>
  </si>
  <si>
    <t>DDS Payment 41000004392023000072690EBI002:5022311160004198: EMIRATES NBD RETAIL LOANS</t>
  </si>
  <si>
    <t>JV-039-012908-24</t>
  </si>
  <si>
    <t>DDS Payment 41000004392023000072690EBI003:5022312270004285:EMIRATES NBD RETAIL LOANS EMI Paid for Chairman for his personal use</t>
  </si>
  <si>
    <t>JV-039-012737-24</t>
  </si>
  <si>
    <t>JV-039-012930-24</t>
  </si>
  <si>
    <t>reversal of JV-039-012263-23/JV-039-012264-23/JV-039-012265-23/JV-039-012267-23</t>
  </si>
  <si>
    <t>JV-039-012800-24</t>
  </si>
  <si>
    <t>reversal of JV-039-012328-23-JV-039-012329-23 JV-039-012373-23 JV-039-012330-23 &amp; JV-039-012331-23</t>
  </si>
  <si>
    <t>Total - 1305150-03 - MASHREQ BANK-GULF DETECTION-AED-010490925957-(S10-RETAIL)</t>
  </si>
  <si>
    <t>1305150-05 - MASHREQ BANK-GULF DETECTION-EURO-010455060831-(S10-RETAIL)</t>
  </si>
  <si>
    <t>Total - 1305150-05 - MASHREQ BANK-GULF DETECTION-EURO-010455060831-(S10-RETAIL)</t>
  </si>
  <si>
    <t>Total - 1305150-00 - MASHREQ BANK</t>
  </si>
  <si>
    <t>Total - 1305100 - CASH AT BANK - BANK ACCOUNTS</t>
  </si>
  <si>
    <t>1305186-00 - UNION NATIONAL BANK</t>
  </si>
  <si>
    <t>1305186-04 - UNION NATIONAL BANK-GD-AED-014459681118-(S10-RETAIL)</t>
  </si>
  <si>
    <t>Total - 1305186-04 - UNION NATIONAL BANK-GD-AED-014459681118-(S10-RETAIL)</t>
  </si>
  <si>
    <t>Total - 1305186-00 - UNION NATIONAL BANK</t>
  </si>
  <si>
    <t>2100000 - PROPRIETOR'S EQUITY</t>
  </si>
  <si>
    <t>2101000 - CAPITAL</t>
  </si>
  <si>
    <t>Total - 2101000 - CAPITAL</t>
  </si>
  <si>
    <t>2102000 - PARTNERS CURRENT ACCOUNT</t>
  </si>
  <si>
    <t>Total - 2102000 - PARTNERS CURRENT ACCOUNT</t>
  </si>
  <si>
    <t>2102014 - PARTNER'S DRAWINGS (ABB)</t>
  </si>
  <si>
    <t>1771</t>
  </si>
  <si>
    <t>PARTNER'S DRAWINGS (SVK)</t>
  </si>
  <si>
    <t>Total - 2102014 - PARTNER'S DRAWINGS (ABB)</t>
  </si>
  <si>
    <t>2104000 - PROFIT AND LOSS ACCOUNT</t>
  </si>
  <si>
    <t>Total - 2104000 - PROFIT AND LOSS ACCOUNT</t>
  </si>
  <si>
    <t>2105000 - STATUTORY RESERVE</t>
  </si>
  <si>
    <t>Total - 2105000 - STATUTORY RESERVE</t>
  </si>
  <si>
    <t>2304000 - ACCRUALS</t>
  </si>
  <si>
    <t>2304100 - OUTSTANDING EXPENSES</t>
  </si>
  <si>
    <t>1467</t>
  </si>
  <si>
    <t>OUTSTANDING EXPENSES</t>
  </si>
  <si>
    <t>JV-039-012785-24</t>
  </si>
  <si>
    <t>RECTIFICATION OF  EXP LEDGER-JV-039-011940-23-TRAVELLING &amp; SITE EXPENSES from SEP - Dec 22  CHQ NO 007703</t>
  </si>
  <si>
    <t>RECTIFICATION OF  EXP LEDGER-JV-039-011940-23-</t>
  </si>
  <si>
    <t>JV-039-012787-24</t>
  </si>
  <si>
    <t>RECTIFICATION OF EXP LEDGER-JV-039-012406-23 M S J TRANSPORT BY HEAVY &amp; LIGHT TRUCKS LLC Cheque Transaction INSTRUMENT AMOUNT007557</t>
  </si>
  <si>
    <t>RECTIFICATION OF EXP LEDGER-JV-039-012406-23-M S J TRANSPORT BY HEAVY &amp; LIGHT TRUCKS LLC Cheque Transaction INSTRUMENT AMOUNT007557</t>
  </si>
  <si>
    <t>Total - 2304100 - OUTSTANDING EXPENSES</t>
  </si>
  <si>
    <t>Total - 2304000 - ACCRUALS</t>
  </si>
  <si>
    <t>2305000 - OTHER PAYABLES</t>
  </si>
  <si>
    <t>1470</t>
  </si>
  <si>
    <t>OTHER PAYABLES</t>
  </si>
  <si>
    <t>45541 Little Kingdom Early childhood Centre</t>
  </si>
  <si>
    <t>Total - 2305000 - OTHER PAYABLES</t>
  </si>
  <si>
    <t>Repeat</t>
  </si>
  <si>
    <t>Example 1</t>
  </si>
  <si>
    <t>Example 2</t>
  </si>
  <si>
    <t>Example 3</t>
  </si>
  <si>
    <t>Transaction Definition</t>
  </si>
  <si>
    <t>Header</t>
  </si>
  <si>
    <t>A</t>
  </si>
  <si>
    <t>Yes</t>
  </si>
  <si>
    <t>Transaction</t>
  </si>
  <si>
    <t>B</t>
  </si>
  <si>
    <t>No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</si>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</sst>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AED &quot;#,##0.00"/>
    <numFmt numFmtId="165" formatCode="dd\ mmm\ yyyy"/>
    <numFmt numFmtId="166" formatCode="#,##0.00;\(#,##0.00\)"/>
    <numFmt numFmtId="167" formatCode="0.00##\%"/>
  </numFmts>
  <fonts count="27" x14ac:knownFonts="1">
    <font>
      <sz val="8"/>
      <name val="Arial"/>
      <family val="2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name val="Arial"/>
      <family val="2"/>
    </font>
    <font>
      <b/>
      <sz val="14"/>
      <name val="Arial"/>
      <family val="2"/>
    </font>
    <font>
      <b/>
      <sz val="7"/>
      <name val="Arial"/>
      <family val="2"/>
    </font>
    <font>
      <b/>
      <sz val="8"/>
      <color indexed="8"/>
      <name val="Arial"/>
      <family val="2"/>
    </font>
    <font>
      <sz val="8"/>
      <color indexed="8"/>
      <name val="Arial"/>
      <family val="2"/>
    </font>
    <font>
      <sz val="8"/>
      <name val="Arial"/>
      <family val="2"/>
    </font>
    <font>
      <b/>
      <sz val="12"/>
      <color theme="1"/>
      <name val="Calibri"/>
      <family val="2"/>
      <scheme val="minor"/>
    </font>
    <font>
      <sz val="9"/>
      <color theme="1"/>
      <name val="Arial"/>
      <family val="2"/>
    </font>
    <font>
      <sz val="11"/>
      <color rgb="FFCD5937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0D0D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dashed">
        <color rgb="FFCCCCCC"/>
      </top>
      <bottom/>
      <diagonal/>
    </border>
    <border>
      <left/>
      <right/>
      <top style="thin">
        <color rgb="FFEBEBEB"/>
      </top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3" fillId="0" borderId="0"/>
  </cellStyleXfs>
  <cellXfs count="42">
    <xf numFmtId="0" fontId="0" fillId="0" borderId="0" xfId="0"/>
    <xf numFmtId="0" fontId="20" fillId="33" borderId="0" xfId="0" applyFont="1" applyFill="1" applyAlignment="1">
      <alignment horizontal="left"/>
    </xf>
    <xf numFmtId="0" fontId="20" fillId="33" borderId="0" xfId="0" applyFont="1" applyFill="1" applyAlignment="1">
      <alignment horizontal="right"/>
    </xf>
    <xf numFmtId="0" fontId="21" fillId="0" borderId="0" xfId="0" applyFont="1" applyAlignment="1">
      <alignment horizontal="left" vertical="center"/>
    </xf>
    <xf numFmtId="0" fontId="22" fillId="0" borderId="0" xfId="0" applyFont="1" applyAlignment="1">
      <alignment horizontal="left" vertical="center"/>
    </xf>
    <xf numFmtId="14" fontId="22" fillId="0" borderId="0" xfId="0" applyNumberFormat="1" applyFont="1" applyAlignment="1">
      <alignment horizontal="left" vertical="center"/>
    </xf>
    <xf numFmtId="164" fontId="22" fillId="0" borderId="0" xfId="0" applyNumberFormat="1" applyFont="1" applyAlignment="1">
      <alignment horizontal="right" vertical="center"/>
    </xf>
    <xf numFmtId="0" fontId="21" fillId="0" borderId="0" xfId="0" applyFont="1" applyAlignment="1">
      <alignment horizontal="left" indent="1"/>
    </xf>
    <xf numFmtId="0" fontId="21" fillId="0" borderId="0" xfId="0" applyFont="1" applyAlignment="1">
      <alignment horizontal="left" indent="2"/>
    </xf>
    <xf numFmtId="0" fontId="21" fillId="0" borderId="0" xfId="0" applyFont="1" applyAlignment="1">
      <alignment horizontal="left" indent="3"/>
    </xf>
    <xf numFmtId="0" fontId="21" fillId="0" borderId="10" xfId="0" applyFont="1" applyBorder="1" applyAlignment="1">
      <alignment horizontal="left" indent="3"/>
    </xf>
    <xf numFmtId="0" fontId="21" fillId="0" borderId="10" xfId="0" applyFont="1" applyBorder="1" applyAlignment="1">
      <alignment horizontal="left" vertical="center"/>
    </xf>
    <xf numFmtId="14" fontId="21" fillId="0" borderId="10" xfId="0" applyNumberFormat="1" applyFont="1" applyBorder="1" applyAlignment="1">
      <alignment horizontal="left" vertical="center"/>
    </xf>
    <xf numFmtId="164" fontId="21" fillId="0" borderId="10" xfId="0" applyNumberFormat="1" applyFont="1" applyBorder="1" applyAlignment="1">
      <alignment horizontal="right" vertical="center"/>
    </xf>
    <xf numFmtId="0" fontId="21" fillId="0" borderId="10" xfId="0" applyFont="1" applyBorder="1" applyAlignment="1">
      <alignment horizontal="left" indent="2"/>
    </xf>
    <xf numFmtId="0" fontId="21" fillId="0" borderId="10" xfId="0" applyFont="1" applyBorder="1" applyAlignment="1">
      <alignment horizontal="left" indent="1"/>
    </xf>
    <xf numFmtId="0" fontId="22" fillId="0" borderId="0" xfId="0" applyFont="1" applyAlignment="1">
      <alignment horizontal="left" indent="2"/>
    </xf>
    <xf numFmtId="0" fontId="22" fillId="0" borderId="0" xfId="0" applyFont="1" applyAlignment="1">
      <alignment horizontal="left" indent="3"/>
    </xf>
    <xf numFmtId="0" fontId="22" fillId="0" borderId="0" xfId="0" applyFont="1" applyAlignment="1">
      <alignment horizontal="left" indent="1"/>
    </xf>
    <xf numFmtId="0" fontId="19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13" fillId="9" borderId="0" xfId="18" applyFont="1" applyAlignment="1">
      <alignment vertical="center" wrapText="1"/>
    </xf>
    <xf numFmtId="0" fontId="13" fillId="9" borderId="0" xfId="18" applyFont="1" applyAlignment="1">
      <alignment horizontal="left" vertical="center" wrapText="1"/>
    </xf>
    <xf numFmtId="0" fontId="16" fillId="0" borderId="0" xfId="0" applyFont="1"/>
    <xf numFmtId="0" fontId="24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25" fillId="0" borderId="0" xfId="0" applyFont="1" applyAlignment="1">
      <alignment vertical="center" wrapText="1"/>
    </xf>
    <xf numFmtId="0" fontId="9" fillId="5" borderId="4" xfId="9" applyAlignment="1">
      <alignment vertical="center" wrapText="1"/>
    </xf>
    <xf numFmtId="0" fontId="24" fillId="0" borderId="0" xfId="0" applyFont="1" applyAlignment="1">
      <alignment vertical="center" wrapText="1"/>
    </xf>
    <xf numFmtId="0" fontId="23" fillId="0" borderId="0" xfId="0" applyFont="1" applyAlignment="1">
      <alignment vertical="center" wrapText="1"/>
    </xf>
    <xf numFmtId="0" fontId="26" fillId="0" borderId="0" xfId="0" applyFont="1" applyAlignment="1">
      <alignment vertical="center" wrapText="1"/>
    </xf>
    <xf numFmtId="165" fontId="0" fillId="0" borderId="11" xfId="0" applyNumberFormat="1" applyBorder="1" applyAlignment="1">
      <alignment horizontal="left" vertical="center"/>
    </xf>
    <xf numFmtId="0" fontId="0" fillId="0" borderId="11" xfId="0" applyBorder="1" applyAlignment="1">
      <alignment vertical="center"/>
    </xf>
    <xf numFmtId="166" fontId="0" fillId="0" borderId="0" xfId="0" applyNumberFormat="1" applyAlignment="1">
      <alignment horizontal="right" vertical="center"/>
    </xf>
    <xf numFmtId="166" fontId="0" fillId="0" borderId="11" xfId="0" applyNumberFormat="1" applyBorder="1" applyAlignment="1">
      <alignment horizontal="right" vertical="center"/>
    </xf>
    <xf numFmtId="167" fontId="0" fillId="0" borderId="11" xfId="0" applyNumberFormat="1" applyBorder="1" applyAlignment="1">
      <alignment horizontal="right" vertical="center"/>
    </xf>
    <xf numFmtId="0" fontId="0" fillId="0" borderId="0" xfId="0" applyAlignment="1">
      <alignment horizontal="left"/>
    </xf>
    <xf numFmtId="0" fontId="22" fillId="0" borderId="0" xfId="42" applyFont="1" applyAlignment="1">
      <alignment horizontal="left" vertical="center"/>
    </xf>
    <xf numFmtId="0" fontId="0" fillId="0" borderId="0" xfId="0" applyFont="1" applyAlignment="1">
      <alignment vertical="center" wrapText="1"/>
    </xf>
    <xf numFmtId="0" fontId="17" fillId="9" borderId="0" xfId="18"/>
    <xf numFmtId="0" fontId="21" fillId="0" borderId="0" xfId="0" applyFont="1" applyAlignme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rmal 2" xfId="42" xr:uid="{B8C1303A-C263-4AF2-A87A-862096049EA7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945D7-7540-4645-BBE3-C0CD70145BFB}">
  <dimension ref="A1:S460"/>
  <sheetViews>
    <sheetView tabSelected="1" workbookViewId="0">
      <selection activeCell="C34" sqref="C34"/>
    </sheetView>
  </sheetViews>
  <sheetFormatPr defaultRowHeight="11.25" x14ac:dyDescent="0.2"/>
  <cols>
    <col min="1" max="1" width="56" bestFit="1" customWidth="1"/>
    <col min="5" max="5" width="10.1640625" bestFit="1" customWidth="1"/>
    <col min="11" max="11" width="16.5" customWidth="1"/>
    <col min="12" max="12" width="17.6640625" customWidth="1"/>
    <col min="13" max="13" width="31.33203125" customWidth="1"/>
  </cols>
  <sheetData>
    <row r="1" spans="1:18" ht="15.75" x14ac:dyDescent="0.25">
      <c r="A1" s="20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spans="1:18" ht="15.75" x14ac:dyDescent="0.25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</row>
    <row r="3" spans="1:18" ht="18" x14ac:dyDescent="0.25">
      <c r="A3" s="19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</row>
    <row r="4" spans="1:18" ht="18" x14ac:dyDescent="0.25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</row>
    <row r="5" spans="1:18" ht="18" x14ac:dyDescent="0.25">
      <c r="A5" s="19" t="s">
        <v>1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</row>
    <row r="6" spans="1:18" ht="18" x14ac:dyDescent="0.25">
      <c r="A6" s="19" t="s">
        <v>1</v>
      </c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</row>
    <row r="7" spans="1:18" x14ac:dyDescent="0.2">
      <c r="A7" s="1" t="s">
        <v>2</v>
      </c>
      <c r="B7" s="1" t="s">
        <v>3</v>
      </c>
      <c r="C7" s="1" t="s">
        <v>4</v>
      </c>
      <c r="D7" s="1" t="s">
        <v>5</v>
      </c>
      <c r="E7" s="1" t="s">
        <v>6</v>
      </c>
      <c r="F7" s="1" t="s">
        <v>7</v>
      </c>
      <c r="G7" s="1" t="s">
        <v>5</v>
      </c>
      <c r="H7" s="1" t="s">
        <v>8</v>
      </c>
      <c r="I7" s="1" t="s">
        <v>9</v>
      </c>
      <c r="J7" s="1" t="s">
        <v>10</v>
      </c>
      <c r="K7" s="2" t="s">
        <v>11</v>
      </c>
      <c r="L7" s="2" t="s">
        <v>12</v>
      </c>
      <c r="M7" s="2" t="s">
        <v>13</v>
      </c>
      <c r="N7" s="1" t="s">
        <v>14</v>
      </c>
      <c r="O7" s="1" t="s">
        <v>15</v>
      </c>
      <c r="P7" s="1" t="s">
        <v>16</v>
      </c>
      <c r="Q7" s="1" t="s">
        <v>17</v>
      </c>
      <c r="R7" s="1" t="s">
        <v>18</v>
      </c>
    </row>
    <row r="8" spans="1:18" x14ac:dyDescent="0.2">
      <c r="A8" s="3" t="s">
        <v>19</v>
      </c>
      <c r="B8" s="4"/>
      <c r="C8" s="4"/>
      <c r="D8" s="4"/>
      <c r="E8" s="5"/>
      <c r="F8" s="4"/>
      <c r="G8" s="4"/>
      <c r="H8" s="4"/>
      <c r="I8" s="4"/>
      <c r="J8" s="4"/>
      <c r="K8" s="6"/>
      <c r="L8" s="6"/>
      <c r="M8" s="6">
        <v>0</v>
      </c>
      <c r="N8" s="4"/>
      <c r="O8" s="4"/>
      <c r="P8" s="4"/>
      <c r="Q8" s="4"/>
      <c r="R8" s="4"/>
    </row>
    <row r="9" spans="1:18" x14ac:dyDescent="0.2">
      <c r="A9" s="7" t="s">
        <v>20</v>
      </c>
      <c r="B9" s="4"/>
      <c r="C9" s="4"/>
      <c r="D9" s="4"/>
      <c r="E9" s="5"/>
      <c r="F9" s="4"/>
      <c r="G9" s="4"/>
      <c r="H9" s="4"/>
      <c r="I9" s="4"/>
      <c r="J9" s="4"/>
      <c r="K9" s="6"/>
      <c r="L9" s="6"/>
      <c r="M9" s="6">
        <v>0</v>
      </c>
      <c r="N9" s="4"/>
      <c r="O9" s="4"/>
      <c r="P9" s="4"/>
      <c r="Q9" s="4"/>
      <c r="R9" s="4"/>
    </row>
    <row r="10" spans="1:18" x14ac:dyDescent="0.2">
      <c r="A10" s="8" t="s">
        <v>21</v>
      </c>
      <c r="B10" s="4"/>
      <c r="C10" s="4"/>
      <c r="D10" s="4"/>
      <c r="E10" s="5"/>
      <c r="F10" s="4"/>
      <c r="G10" s="4"/>
      <c r="H10" s="4"/>
      <c r="I10" s="4"/>
      <c r="J10" s="4"/>
      <c r="K10" s="6"/>
      <c r="L10" s="6"/>
      <c r="M10" s="6">
        <v>-8434</v>
      </c>
      <c r="N10" s="4"/>
      <c r="O10" s="4"/>
      <c r="P10" s="4"/>
      <c r="Q10" s="4"/>
      <c r="R10" s="4"/>
    </row>
    <row r="11" spans="1:18" x14ac:dyDescent="0.2">
      <c r="A11" s="9" t="s">
        <v>22</v>
      </c>
      <c r="B11" s="4"/>
      <c r="C11" s="4"/>
      <c r="D11" s="4"/>
      <c r="E11" s="5"/>
      <c r="F11" s="4"/>
      <c r="G11" s="4"/>
      <c r="H11" s="4"/>
      <c r="I11" s="4"/>
      <c r="J11" s="4"/>
      <c r="K11" s="6"/>
      <c r="L11" s="6"/>
      <c r="M11" s="6">
        <v>-106000</v>
      </c>
      <c r="N11" s="4"/>
      <c r="O11" s="4"/>
      <c r="P11" s="4"/>
      <c r="Q11" s="4"/>
      <c r="R11" s="4"/>
    </row>
    <row r="12" spans="1:18" x14ac:dyDescent="0.2">
      <c r="A12" s="9"/>
      <c r="B12" s="4" t="s">
        <v>45</v>
      </c>
      <c r="C12" s="4" t="s">
        <v>46</v>
      </c>
      <c r="D12" s="4" t="s">
        <v>47</v>
      </c>
      <c r="E12" s="5">
        <v>45291</v>
      </c>
      <c r="F12" s="4" t="s">
        <v>48</v>
      </c>
      <c r="G12" s="4"/>
      <c r="H12" s="4"/>
      <c r="I12" s="4" t="s">
        <v>49</v>
      </c>
      <c r="J12" s="4" t="s">
        <v>49</v>
      </c>
      <c r="K12" s="6"/>
      <c r="L12" s="6">
        <v>-27269</v>
      </c>
      <c r="M12" s="6">
        <f>M11+L12</f>
        <v>-133269</v>
      </c>
      <c r="N12" s="4"/>
      <c r="O12" s="4"/>
      <c r="P12" s="4"/>
      <c r="Q12" s="4"/>
      <c r="R12" s="4"/>
    </row>
    <row r="13" spans="1:18" x14ac:dyDescent="0.2">
      <c r="A13" s="10" t="s">
        <v>23</v>
      </c>
      <c r="B13" s="11"/>
      <c r="C13" s="11"/>
      <c r="D13" s="11"/>
      <c r="E13" s="12"/>
      <c r="F13" s="11"/>
      <c r="G13" s="11"/>
      <c r="H13" s="11"/>
      <c r="I13" s="11"/>
      <c r="J13" s="11"/>
      <c r="K13" s="13">
        <f>SUM(K11)</f>
        <v>0</v>
      </c>
      <c r="L13" s="13">
        <f>SUM(L11)</f>
        <v>0</v>
      </c>
      <c r="M13" s="13">
        <f>M12</f>
        <v>-133269</v>
      </c>
      <c r="N13" s="11"/>
      <c r="O13" s="11"/>
      <c r="P13" s="11"/>
      <c r="Q13" s="11"/>
      <c r="R13" s="11"/>
    </row>
    <row r="14" spans="1:18" x14ac:dyDescent="0.2">
      <c r="A14" s="9" t="s">
        <v>24</v>
      </c>
      <c r="B14" s="4"/>
      <c r="C14" s="4"/>
      <c r="D14" s="4"/>
      <c r="E14" s="5"/>
      <c r="F14" s="4"/>
      <c r="G14" s="4"/>
      <c r="H14" s="4"/>
      <c r="I14" s="4"/>
      <c r="J14" s="4"/>
      <c r="K14" s="6"/>
      <c r="L14" s="6"/>
      <c r="M14" s="6">
        <v>-33466</v>
      </c>
      <c r="N14" s="4"/>
      <c r="O14" s="4"/>
      <c r="P14" s="4"/>
      <c r="Q14" s="4"/>
      <c r="R14" s="4"/>
    </row>
    <row r="15" spans="1:18" x14ac:dyDescent="0.2">
      <c r="A15" s="10" t="s">
        <v>25</v>
      </c>
      <c r="B15" s="11"/>
      <c r="C15" s="11"/>
      <c r="D15" s="11"/>
      <c r="E15" s="12"/>
      <c r="F15" s="11"/>
      <c r="G15" s="11"/>
      <c r="H15" s="11"/>
      <c r="I15" s="11"/>
      <c r="J15" s="11"/>
      <c r="K15" s="13">
        <f>SUM(K14)</f>
        <v>0</v>
      </c>
      <c r="L15" s="13">
        <f>SUM(L14)</f>
        <v>0</v>
      </c>
      <c r="M15" s="13">
        <f>M14</f>
        <v>-33466</v>
      </c>
      <c r="N15" s="11"/>
      <c r="O15" s="11"/>
      <c r="P15" s="11"/>
      <c r="Q15" s="11"/>
      <c r="R15" s="11"/>
    </row>
    <row r="16" spans="1:18" x14ac:dyDescent="0.2">
      <c r="A16" s="14" t="s">
        <v>26</v>
      </c>
      <c r="B16" s="11"/>
      <c r="C16" s="11"/>
      <c r="D16" s="11"/>
      <c r="E16" s="12"/>
      <c r="F16" s="11"/>
      <c r="G16" s="11"/>
      <c r="H16" s="11"/>
      <c r="I16" s="11"/>
      <c r="J16" s="11"/>
      <c r="K16" s="13">
        <f>SUM(K10,K13,K15)</f>
        <v>0</v>
      </c>
      <c r="L16" s="13">
        <f>SUM(L10,L13,L15)</f>
        <v>0</v>
      </c>
      <c r="M16" s="13">
        <f>M10+M13+M15</f>
        <v>-175169</v>
      </c>
      <c r="N16" s="11"/>
      <c r="O16" s="11"/>
      <c r="P16" s="11"/>
      <c r="Q16" s="11"/>
      <c r="R16" s="11"/>
    </row>
    <row r="17" spans="1:18" x14ac:dyDescent="0.2">
      <c r="A17" s="8" t="s">
        <v>27</v>
      </c>
      <c r="B17" s="4"/>
      <c r="C17" s="4"/>
      <c r="D17" s="4"/>
      <c r="E17" s="5"/>
      <c r="F17" s="4"/>
      <c r="G17" s="4"/>
      <c r="H17" s="4"/>
      <c r="I17" s="4"/>
      <c r="J17" s="4"/>
      <c r="K17" s="6"/>
      <c r="L17" s="6"/>
      <c r="M17" s="6">
        <v>0</v>
      </c>
      <c r="N17" s="4"/>
      <c r="O17" s="4"/>
      <c r="P17" s="4"/>
      <c r="Q17" s="4"/>
      <c r="R17" s="4"/>
    </row>
    <row r="18" spans="1:18" x14ac:dyDescent="0.2">
      <c r="A18" s="9" t="s">
        <v>28</v>
      </c>
      <c r="B18" s="4"/>
      <c r="C18" s="4"/>
      <c r="D18" s="4"/>
      <c r="E18" s="5"/>
      <c r="F18" s="4"/>
      <c r="G18" s="4"/>
      <c r="H18" s="4"/>
      <c r="I18" s="4"/>
      <c r="J18" s="4"/>
      <c r="K18" s="6"/>
      <c r="L18" s="6"/>
      <c r="M18" s="6">
        <v>-1240</v>
      </c>
      <c r="N18" s="4"/>
      <c r="O18" s="4"/>
      <c r="P18" s="4"/>
      <c r="Q18" s="4"/>
      <c r="R18" s="4"/>
    </row>
    <row r="19" spans="1:18" x14ac:dyDescent="0.2">
      <c r="A19" s="10" t="s">
        <v>29</v>
      </c>
      <c r="B19" s="11"/>
      <c r="C19" s="11"/>
      <c r="D19" s="11"/>
      <c r="E19" s="12"/>
      <c r="F19" s="11"/>
      <c r="G19" s="11"/>
      <c r="H19" s="11"/>
      <c r="I19" s="11"/>
      <c r="J19" s="11"/>
      <c r="K19" s="13">
        <f>SUM(K18)</f>
        <v>0</v>
      </c>
      <c r="L19" s="13">
        <f>SUM(L18)</f>
        <v>0</v>
      </c>
      <c r="M19" s="13">
        <f>M18</f>
        <v>-1240</v>
      </c>
      <c r="N19" s="11"/>
      <c r="O19" s="11"/>
      <c r="P19" s="11"/>
      <c r="Q19" s="11"/>
      <c r="R19" s="11"/>
    </row>
    <row r="20" spans="1:18" x14ac:dyDescent="0.2">
      <c r="A20" s="14" t="s">
        <v>30</v>
      </c>
      <c r="B20" s="11"/>
      <c r="C20" s="11"/>
      <c r="D20" s="11"/>
      <c r="E20" s="12"/>
      <c r="F20" s="11"/>
      <c r="G20" s="11"/>
      <c r="H20" s="11"/>
      <c r="I20" s="11"/>
      <c r="J20" s="11"/>
      <c r="K20" s="13">
        <f>SUM(K17,K19)</f>
        <v>0</v>
      </c>
      <c r="L20" s="13">
        <f>SUM(L17,L19)</f>
        <v>0</v>
      </c>
      <c r="M20" s="13">
        <f>M17+M19</f>
        <v>-1240</v>
      </c>
      <c r="N20" s="11"/>
      <c r="O20" s="11"/>
      <c r="P20" s="11"/>
      <c r="Q20" s="11"/>
      <c r="R20" s="11"/>
    </row>
    <row r="21" spans="1:18" x14ac:dyDescent="0.2">
      <c r="A21" s="8" t="s">
        <v>31</v>
      </c>
      <c r="B21" s="4"/>
      <c r="C21" s="4"/>
      <c r="D21" s="4"/>
      <c r="E21" s="5"/>
      <c r="F21" s="4"/>
      <c r="G21" s="4"/>
      <c r="H21" s="4"/>
      <c r="I21" s="4"/>
      <c r="J21" s="4"/>
      <c r="K21" s="6"/>
      <c r="L21" s="6"/>
      <c r="M21" s="6">
        <v>0</v>
      </c>
      <c r="N21" s="4"/>
      <c r="O21" s="4"/>
      <c r="P21" s="4"/>
      <c r="Q21" s="4"/>
      <c r="R21" s="4"/>
    </row>
    <row r="22" spans="1:18" x14ac:dyDescent="0.2">
      <c r="A22" s="9" t="s">
        <v>32</v>
      </c>
      <c r="B22" s="4"/>
      <c r="C22" s="4"/>
      <c r="D22" s="4"/>
      <c r="E22" s="5"/>
      <c r="F22" s="4"/>
      <c r="G22" s="4"/>
      <c r="H22" s="4"/>
      <c r="I22" s="4"/>
      <c r="J22" s="4"/>
      <c r="K22" s="6"/>
      <c r="L22" s="6"/>
      <c r="M22" s="6">
        <v>-15950</v>
      </c>
      <c r="N22" s="4"/>
      <c r="O22" s="4"/>
      <c r="P22" s="4"/>
      <c r="Q22" s="4"/>
      <c r="R22" s="4"/>
    </row>
    <row r="23" spans="1:18" x14ac:dyDescent="0.2">
      <c r="A23" s="10" t="s">
        <v>33</v>
      </c>
      <c r="B23" s="11"/>
      <c r="C23" s="11"/>
      <c r="D23" s="11"/>
      <c r="E23" s="12"/>
      <c r="F23" s="11"/>
      <c r="G23" s="11"/>
      <c r="H23" s="11"/>
      <c r="I23" s="11"/>
      <c r="J23" s="11"/>
      <c r="K23" s="13">
        <f>SUM(K22)</f>
        <v>0</v>
      </c>
      <c r="L23" s="13">
        <f>SUM(L22)</f>
        <v>0</v>
      </c>
      <c r="M23" s="13">
        <f>M22</f>
        <v>-15950</v>
      </c>
      <c r="N23" s="11"/>
      <c r="O23" s="11"/>
      <c r="P23" s="11"/>
      <c r="Q23" s="11"/>
      <c r="R23" s="11"/>
    </row>
    <row r="24" spans="1:18" x14ac:dyDescent="0.2">
      <c r="A24" s="14" t="s">
        <v>34</v>
      </c>
      <c r="B24" s="11"/>
      <c r="C24" s="11"/>
      <c r="D24" s="11"/>
      <c r="E24" s="12"/>
      <c r="F24" s="11"/>
      <c r="G24" s="11"/>
      <c r="H24" s="11"/>
      <c r="I24" s="11"/>
      <c r="J24" s="11"/>
      <c r="K24" s="13">
        <f>SUM(K21,K23)</f>
        <v>0</v>
      </c>
      <c r="L24" s="13">
        <f>SUM(L21,L23)</f>
        <v>0</v>
      </c>
      <c r="M24" s="13">
        <f>M21+M23</f>
        <v>-15950</v>
      </c>
      <c r="N24" s="11"/>
      <c r="O24" s="11"/>
      <c r="P24" s="11"/>
      <c r="Q24" s="11"/>
      <c r="R24" s="11"/>
    </row>
    <row r="25" spans="1:18" x14ac:dyDescent="0.2">
      <c r="A25" s="8" t="s">
        <v>35</v>
      </c>
      <c r="B25" s="4"/>
      <c r="C25" s="4"/>
      <c r="D25" s="4"/>
      <c r="E25" s="5"/>
      <c r="F25" s="4"/>
      <c r="G25" s="4"/>
      <c r="H25" s="4"/>
      <c r="I25" s="4"/>
      <c r="J25" s="4"/>
      <c r="K25" s="6"/>
      <c r="L25" s="6"/>
      <c r="M25" s="6">
        <v>0</v>
      </c>
      <c r="N25" s="4"/>
      <c r="O25" s="4"/>
      <c r="P25" s="4"/>
      <c r="Q25" s="4"/>
      <c r="R25" s="4"/>
    </row>
    <row r="26" spans="1:18" x14ac:dyDescent="0.2">
      <c r="A26" s="9" t="s">
        <v>36</v>
      </c>
      <c r="B26" s="4"/>
      <c r="C26" s="4"/>
      <c r="D26" s="4"/>
      <c r="E26" s="5"/>
      <c r="F26" s="4"/>
      <c r="G26" s="4"/>
      <c r="H26" s="4"/>
      <c r="I26" s="4"/>
      <c r="J26" s="4"/>
      <c r="K26" s="6"/>
      <c r="L26" s="6"/>
      <c r="M26" s="6">
        <v>-56784</v>
      </c>
      <c r="N26" s="4"/>
      <c r="O26" s="4"/>
      <c r="P26" s="4"/>
      <c r="Q26" s="4"/>
      <c r="R26" s="4"/>
    </row>
    <row r="27" spans="1:18" x14ac:dyDescent="0.2">
      <c r="A27" s="10" t="s">
        <v>37</v>
      </c>
      <c r="B27" s="11"/>
      <c r="C27" s="11"/>
      <c r="D27" s="11"/>
      <c r="E27" s="12"/>
      <c r="F27" s="11"/>
      <c r="G27" s="11"/>
      <c r="H27" s="11"/>
      <c r="I27" s="11"/>
      <c r="J27" s="11"/>
      <c r="K27" s="13">
        <f>SUM(K26)</f>
        <v>0</v>
      </c>
      <c r="L27" s="13">
        <f>SUM(L26)</f>
        <v>0</v>
      </c>
      <c r="M27" s="13">
        <f>M26</f>
        <v>-56784</v>
      </c>
      <c r="N27" s="11"/>
      <c r="O27" s="11"/>
      <c r="P27" s="11"/>
      <c r="Q27" s="11"/>
      <c r="R27" s="11"/>
    </row>
    <row r="28" spans="1:18" x14ac:dyDescent="0.2">
      <c r="A28" s="9" t="s">
        <v>38</v>
      </c>
      <c r="B28" s="4"/>
      <c r="C28" s="4"/>
      <c r="D28" s="4"/>
      <c r="E28" s="5"/>
      <c r="F28" s="4"/>
      <c r="G28" s="4"/>
      <c r="H28" s="4"/>
      <c r="I28" s="4"/>
      <c r="J28" s="4"/>
      <c r="K28" s="6"/>
      <c r="L28" s="6"/>
      <c r="M28" s="6">
        <v>208761</v>
      </c>
      <c r="N28" s="4"/>
      <c r="O28" s="4"/>
      <c r="P28" s="4"/>
      <c r="Q28" s="4"/>
      <c r="R28" s="4"/>
    </row>
    <row r="29" spans="1:18" x14ac:dyDescent="0.2">
      <c r="A29" s="9"/>
      <c r="B29" s="4" t="s">
        <v>45</v>
      </c>
      <c r="C29" s="4">
        <v>958</v>
      </c>
      <c r="D29" s="4"/>
      <c r="E29" s="5">
        <v>45291</v>
      </c>
      <c r="F29" s="4" t="s">
        <v>48</v>
      </c>
      <c r="G29" s="4"/>
      <c r="H29" s="4"/>
      <c r="I29" s="4" t="s">
        <v>49</v>
      </c>
      <c r="J29" s="4" t="s">
        <v>49</v>
      </c>
      <c r="K29" s="6"/>
      <c r="L29" s="6">
        <v>-2168</v>
      </c>
      <c r="M29" s="6">
        <f>M28+L29</f>
        <v>206593</v>
      </c>
      <c r="N29" s="4"/>
      <c r="O29" s="4"/>
      <c r="P29" s="4"/>
      <c r="Q29" s="4"/>
      <c r="R29" s="4"/>
    </row>
    <row r="30" spans="1:18" x14ac:dyDescent="0.2">
      <c r="A30" s="10" t="s">
        <v>39</v>
      </c>
      <c r="B30" s="11"/>
      <c r="C30" s="11"/>
      <c r="D30" s="11"/>
      <c r="E30" s="12"/>
      <c r="F30" s="11"/>
      <c r="G30" s="11"/>
      <c r="H30" s="11"/>
      <c r="I30" s="11"/>
      <c r="J30" s="11"/>
      <c r="K30" s="13">
        <f>SUM(K28)</f>
        <v>0</v>
      </c>
      <c r="L30" s="13">
        <f>SUM(L28)</f>
        <v>0</v>
      </c>
      <c r="M30" s="13">
        <f>M29</f>
        <v>206593</v>
      </c>
      <c r="N30" s="11"/>
      <c r="O30" s="11"/>
      <c r="P30" s="11"/>
      <c r="Q30" s="11"/>
      <c r="R30" s="11"/>
    </row>
    <row r="31" spans="1:18" x14ac:dyDescent="0.2">
      <c r="A31" s="9" t="s">
        <v>40</v>
      </c>
      <c r="B31" s="4"/>
      <c r="C31" s="4"/>
      <c r="D31" s="4"/>
      <c r="E31" s="5"/>
      <c r="F31" s="4"/>
      <c r="G31" s="4"/>
      <c r="H31" s="4"/>
      <c r="I31" s="4"/>
      <c r="J31" s="4"/>
      <c r="K31" s="6"/>
      <c r="L31" s="6"/>
      <c r="M31" s="6">
        <v>-49938</v>
      </c>
      <c r="N31" s="4"/>
      <c r="O31" s="4"/>
      <c r="P31" s="4"/>
      <c r="Q31" s="4"/>
      <c r="R31" s="4"/>
    </row>
    <row r="32" spans="1:18" x14ac:dyDescent="0.2">
      <c r="A32" s="10" t="s">
        <v>41</v>
      </c>
      <c r="B32" s="11"/>
      <c r="C32" s="11"/>
      <c r="D32" s="11"/>
      <c r="E32" s="12"/>
      <c r="F32" s="11"/>
      <c r="G32" s="11"/>
      <c r="H32" s="11"/>
      <c r="I32" s="11"/>
      <c r="J32" s="11"/>
      <c r="K32" s="13">
        <f>SUM(K31)</f>
        <v>0</v>
      </c>
      <c r="L32" s="13">
        <f>SUM(L31)</f>
        <v>0</v>
      </c>
      <c r="M32" s="13">
        <f>M31</f>
        <v>-49938</v>
      </c>
      <c r="N32" s="11"/>
      <c r="O32" s="11"/>
      <c r="P32" s="11"/>
      <c r="Q32" s="11"/>
      <c r="R32" s="11"/>
    </row>
    <row r="33" spans="1:19" x14ac:dyDescent="0.2">
      <c r="A33" s="14" t="s">
        <v>42</v>
      </c>
      <c r="B33" s="11"/>
      <c r="C33" s="11"/>
      <c r="D33" s="11"/>
      <c r="E33" s="12"/>
      <c r="F33" s="11"/>
      <c r="G33" s="11"/>
      <c r="H33" s="11"/>
      <c r="I33" s="11"/>
      <c r="J33" s="11"/>
      <c r="K33" s="13">
        <f>SUM(K25,K27,K30,K32)</f>
        <v>0</v>
      </c>
      <c r="L33" s="13">
        <f>SUM(L25,L27,L30,L32)</f>
        <v>0</v>
      </c>
      <c r="M33" s="13">
        <f>M25+M27+M30+M32</f>
        <v>99871</v>
      </c>
      <c r="N33" s="11"/>
      <c r="O33" s="11"/>
      <c r="P33" s="11"/>
      <c r="Q33" s="11"/>
      <c r="R33" s="11"/>
    </row>
    <row r="34" spans="1:19" x14ac:dyDescent="0.2">
      <c r="A34" s="15" t="s">
        <v>43</v>
      </c>
      <c r="B34" s="11"/>
      <c r="C34" s="11"/>
      <c r="D34" s="11"/>
      <c r="E34" s="12"/>
      <c r="F34" s="11"/>
      <c r="G34" s="11"/>
      <c r="H34" s="11"/>
      <c r="I34" s="11"/>
      <c r="J34" s="11"/>
      <c r="K34" s="13">
        <f>SUM(K9,K16,K20,K24,K33)</f>
        <v>0</v>
      </c>
      <c r="L34" s="13">
        <f>SUM(L9,L16,L20,L24,L33)</f>
        <v>0</v>
      </c>
      <c r="M34" s="13">
        <f>M9+M16+M20+M24+M33</f>
        <v>-92488</v>
      </c>
      <c r="N34" s="11"/>
      <c r="O34" s="11"/>
      <c r="P34" s="11"/>
      <c r="Q34" s="11"/>
      <c r="R34" s="11"/>
    </row>
    <row r="35" spans="1:19" x14ac:dyDescent="0.2">
      <c r="A35" s="11" t="s">
        <v>44</v>
      </c>
      <c r="B35" s="11"/>
      <c r="C35" s="11"/>
      <c r="D35" s="11"/>
      <c r="E35" s="12"/>
      <c r="F35" s="11"/>
      <c r="G35" s="11"/>
      <c r="H35" s="11"/>
      <c r="I35" s="11"/>
      <c r="J35" s="11"/>
      <c r="K35" s="13">
        <f>SUM(K8,K34)</f>
        <v>0</v>
      </c>
      <c r="L35" s="13">
        <f>SUM(L8,L34)</f>
        <v>0</v>
      </c>
      <c r="M35" s="13">
        <f>M8+M34</f>
        <v>-92488</v>
      </c>
      <c r="N35" s="11"/>
      <c r="O35" s="11"/>
      <c r="P35" s="11"/>
      <c r="Q35" s="11"/>
      <c r="R35" s="11"/>
    </row>
    <row r="37" spans="1:19" x14ac:dyDescent="0.2">
      <c r="A37" s="3" t="s">
        <v>50</v>
      </c>
      <c r="B37" s="4"/>
      <c r="C37" s="4"/>
      <c r="D37" s="4"/>
      <c r="E37" s="5"/>
      <c r="F37" s="4"/>
      <c r="G37" s="4"/>
      <c r="H37" s="4"/>
      <c r="I37" s="4"/>
      <c r="J37" s="4"/>
      <c r="K37" s="6"/>
      <c r="L37" s="6"/>
      <c r="M37" s="6">
        <v>0</v>
      </c>
      <c r="N37" s="4"/>
      <c r="O37" s="4"/>
      <c r="P37" s="4"/>
      <c r="Q37" s="4"/>
      <c r="R37" s="4"/>
      <c r="S37" s="4"/>
    </row>
    <row r="38" spans="1:19" x14ac:dyDescent="0.2">
      <c r="A38" s="7" t="s">
        <v>51</v>
      </c>
      <c r="B38" s="4"/>
      <c r="C38" s="4"/>
      <c r="D38" s="4"/>
      <c r="E38" s="5"/>
      <c r="F38" s="4"/>
      <c r="G38" s="4"/>
      <c r="H38" s="4"/>
      <c r="I38" s="4"/>
      <c r="J38" s="4"/>
      <c r="K38" s="6"/>
      <c r="L38" s="6"/>
      <c r="M38" s="6">
        <v>38691.5</v>
      </c>
      <c r="N38" s="4"/>
      <c r="O38" s="4"/>
      <c r="P38" s="4"/>
      <c r="Q38" s="4"/>
      <c r="R38" s="4"/>
      <c r="S38" s="4"/>
    </row>
    <row r="39" spans="1:19" x14ac:dyDescent="0.2">
      <c r="A39" s="15" t="s">
        <v>52</v>
      </c>
      <c r="B39" s="11"/>
      <c r="C39" s="11"/>
      <c r="D39" s="11"/>
      <c r="E39" s="12"/>
      <c r="F39" s="11"/>
      <c r="G39" s="11"/>
      <c r="H39" s="11"/>
      <c r="I39" s="11"/>
      <c r="J39" s="11"/>
      <c r="K39" s="13">
        <f>SUM(K38)</f>
        <v>0</v>
      </c>
      <c r="L39" s="13">
        <f>SUM(L38)</f>
        <v>0</v>
      </c>
      <c r="M39" s="13">
        <f>M38</f>
        <v>38691.5</v>
      </c>
      <c r="N39" s="11"/>
      <c r="O39" s="11"/>
      <c r="P39" s="11"/>
      <c r="Q39" s="11"/>
      <c r="R39" s="11"/>
      <c r="S39" s="11"/>
    </row>
    <row r="40" spans="1:19" x14ac:dyDescent="0.2">
      <c r="A40" s="7" t="s">
        <v>53</v>
      </c>
      <c r="B40" s="4"/>
      <c r="C40" s="4"/>
      <c r="D40" s="4"/>
      <c r="E40" s="5"/>
      <c r="F40" s="4"/>
      <c r="G40" s="4"/>
      <c r="H40" s="4"/>
      <c r="I40" s="4"/>
      <c r="J40" s="4"/>
      <c r="K40" s="6"/>
      <c r="L40" s="6"/>
      <c r="M40" s="6">
        <v>6000</v>
      </c>
      <c r="N40" s="4"/>
      <c r="O40" s="4"/>
      <c r="P40" s="4"/>
      <c r="Q40" s="4"/>
      <c r="R40" s="4"/>
      <c r="S40" s="4"/>
    </row>
    <row r="41" spans="1:19" x14ac:dyDescent="0.2">
      <c r="A41" s="15" t="s">
        <v>54</v>
      </c>
      <c r="B41" s="11"/>
      <c r="C41" s="11"/>
      <c r="D41" s="11"/>
      <c r="E41" s="12"/>
      <c r="F41" s="11"/>
      <c r="G41" s="11"/>
      <c r="H41" s="11"/>
      <c r="I41" s="11"/>
      <c r="J41" s="11"/>
      <c r="K41" s="13">
        <f>SUM(K40)</f>
        <v>0</v>
      </c>
      <c r="L41" s="13">
        <f>SUM(L40)</f>
        <v>0</v>
      </c>
      <c r="M41" s="13">
        <f>M40</f>
        <v>6000</v>
      </c>
      <c r="N41" s="11"/>
      <c r="O41" s="11"/>
      <c r="P41" s="11"/>
      <c r="Q41" s="11"/>
      <c r="R41" s="11"/>
      <c r="S41" s="11"/>
    </row>
    <row r="42" spans="1:19" x14ac:dyDescent="0.2">
      <c r="A42" s="11" t="s">
        <v>55</v>
      </c>
      <c r="B42" s="11"/>
      <c r="C42" s="11"/>
      <c r="D42" s="11"/>
      <c r="E42" s="12"/>
      <c r="F42" s="11"/>
      <c r="G42" s="11"/>
      <c r="H42" s="11"/>
      <c r="I42" s="11"/>
      <c r="J42" s="11"/>
      <c r="K42" s="13">
        <f>SUM(K37,K39,K41)</f>
        <v>0</v>
      </c>
      <c r="L42" s="13">
        <f>SUM(L37,L39,L41)</f>
        <v>0</v>
      </c>
      <c r="M42" s="13">
        <f>M37+M39+M41</f>
        <v>44691.5</v>
      </c>
      <c r="N42" s="11"/>
      <c r="O42" s="11"/>
      <c r="P42" s="11"/>
      <c r="Q42" s="11"/>
      <c r="R42" s="11"/>
      <c r="S42" s="11"/>
    </row>
    <row r="44" spans="1:19" x14ac:dyDescent="0.2">
      <c r="A44" s="3" t="s">
        <v>56</v>
      </c>
      <c r="B44" s="4"/>
      <c r="C44" s="4"/>
      <c r="D44" s="4"/>
      <c r="E44" s="5"/>
      <c r="F44" s="4"/>
      <c r="G44" s="4"/>
      <c r="H44" s="4"/>
      <c r="I44" s="4"/>
      <c r="J44" s="4"/>
      <c r="K44" s="6"/>
      <c r="L44" s="6"/>
      <c r="M44" s="6">
        <v>0</v>
      </c>
      <c r="N44" s="4"/>
      <c r="O44" s="4"/>
      <c r="P44" s="4"/>
      <c r="Q44" s="4"/>
      <c r="R44" s="4"/>
      <c r="S44" s="4"/>
    </row>
    <row r="45" spans="1:19" x14ac:dyDescent="0.2">
      <c r="A45" s="7" t="s">
        <v>57</v>
      </c>
      <c r="B45" s="4"/>
      <c r="C45" s="4"/>
      <c r="D45" s="4"/>
      <c r="E45" s="5"/>
      <c r="F45" s="4"/>
      <c r="G45" s="4"/>
      <c r="H45" s="4"/>
      <c r="I45" s="4"/>
      <c r="J45" s="4"/>
      <c r="K45" s="6"/>
      <c r="L45" s="6"/>
      <c r="M45" s="6">
        <v>7624.58</v>
      </c>
      <c r="N45" s="4"/>
      <c r="O45" s="4"/>
      <c r="P45" s="4"/>
      <c r="Q45" s="4"/>
      <c r="R45" s="4"/>
      <c r="S45" s="4"/>
    </row>
    <row r="46" spans="1:19" x14ac:dyDescent="0.2">
      <c r="A46" s="7"/>
      <c r="B46" s="4" t="s">
        <v>45</v>
      </c>
      <c r="C46" s="4" t="s">
        <v>58</v>
      </c>
      <c r="D46" s="4" t="s">
        <v>59</v>
      </c>
      <c r="E46" s="5">
        <v>44955</v>
      </c>
      <c r="F46" s="4" t="s">
        <v>60</v>
      </c>
      <c r="G46" s="4"/>
      <c r="H46" s="4"/>
      <c r="I46" s="4"/>
      <c r="J46" s="4"/>
      <c r="K46" s="6"/>
      <c r="L46" s="6">
        <v>7624.58</v>
      </c>
      <c r="M46" s="6">
        <f>M45+K46-L46</f>
        <v>0</v>
      </c>
      <c r="N46" s="4"/>
      <c r="O46" s="4"/>
      <c r="P46" s="4"/>
      <c r="Q46" s="4"/>
      <c r="R46" s="4"/>
      <c r="S46" s="4"/>
    </row>
    <row r="47" spans="1:19" x14ac:dyDescent="0.2">
      <c r="A47" s="16"/>
      <c r="B47" s="4" t="s">
        <v>45</v>
      </c>
      <c r="C47" s="4" t="s">
        <v>58</v>
      </c>
      <c r="D47" s="4" t="s">
        <v>59</v>
      </c>
      <c r="E47" s="5">
        <v>45167</v>
      </c>
      <c r="F47" s="4" t="s">
        <v>61</v>
      </c>
      <c r="G47" s="4"/>
      <c r="H47" s="4"/>
      <c r="I47" s="4" t="s">
        <v>62</v>
      </c>
      <c r="J47" s="4" t="s">
        <v>63</v>
      </c>
      <c r="K47" s="6">
        <v>2583.15</v>
      </c>
      <c r="L47" s="6"/>
      <c r="M47" s="6">
        <f t="shared" ref="M47:M50" si="0">M46+K47-L47</f>
        <v>2583.15</v>
      </c>
      <c r="N47" s="4" t="s">
        <v>64</v>
      </c>
      <c r="O47" s="4" t="s">
        <v>65</v>
      </c>
      <c r="P47" s="4" t="s">
        <v>66</v>
      </c>
      <c r="Q47" s="4"/>
      <c r="R47" s="4" t="s">
        <v>0</v>
      </c>
      <c r="S47" s="4"/>
    </row>
    <row r="48" spans="1:19" x14ac:dyDescent="0.2">
      <c r="A48" s="16"/>
      <c r="B48" s="4" t="s">
        <v>45</v>
      </c>
      <c r="C48" s="4" t="s">
        <v>58</v>
      </c>
      <c r="D48" s="4" t="s">
        <v>59</v>
      </c>
      <c r="E48" s="5">
        <v>45223</v>
      </c>
      <c r="F48" s="4" t="s">
        <v>67</v>
      </c>
      <c r="G48" s="4"/>
      <c r="H48" s="4"/>
      <c r="I48" s="4" t="s">
        <v>68</v>
      </c>
      <c r="J48" s="4" t="s">
        <v>68</v>
      </c>
      <c r="K48" s="6">
        <v>2729.13</v>
      </c>
      <c r="L48" s="6"/>
      <c r="M48" s="6">
        <f t="shared" si="0"/>
        <v>5312.2800000000007</v>
      </c>
      <c r="N48" s="4" t="s">
        <v>64</v>
      </c>
      <c r="O48" s="4" t="s">
        <v>65</v>
      </c>
      <c r="P48" s="4" t="s">
        <v>66</v>
      </c>
      <c r="Q48" s="4"/>
      <c r="R48" s="4" t="s">
        <v>0</v>
      </c>
      <c r="S48" s="4"/>
    </row>
    <row r="49" spans="1:19" x14ac:dyDescent="0.2">
      <c r="A49" s="16"/>
      <c r="B49" s="4" t="s">
        <v>45</v>
      </c>
      <c r="C49" s="4" t="s">
        <v>58</v>
      </c>
      <c r="D49" s="4" t="s">
        <v>59</v>
      </c>
      <c r="E49" s="5">
        <v>45224</v>
      </c>
      <c r="F49" s="4" t="s">
        <v>69</v>
      </c>
      <c r="G49" s="4"/>
      <c r="H49" s="4"/>
      <c r="I49" s="4" t="s">
        <v>70</v>
      </c>
      <c r="J49" s="4" t="s">
        <v>71</v>
      </c>
      <c r="K49" s="6">
        <v>2940.83</v>
      </c>
      <c r="L49" s="6"/>
      <c r="M49" s="6">
        <f t="shared" si="0"/>
        <v>8253.11</v>
      </c>
      <c r="N49" s="4" t="s">
        <v>64</v>
      </c>
      <c r="O49" s="4" t="s">
        <v>65</v>
      </c>
      <c r="P49" s="4" t="s">
        <v>66</v>
      </c>
      <c r="Q49" s="4"/>
      <c r="R49" s="4" t="s">
        <v>0</v>
      </c>
      <c r="S49" s="4"/>
    </row>
    <row r="50" spans="1:19" x14ac:dyDescent="0.2">
      <c r="A50" s="16"/>
      <c r="B50" s="4" t="s">
        <v>45</v>
      </c>
      <c r="C50" s="4" t="s">
        <v>58</v>
      </c>
      <c r="D50" s="4" t="s">
        <v>59</v>
      </c>
      <c r="E50" s="5">
        <v>45251</v>
      </c>
      <c r="F50" s="4" t="s">
        <v>72</v>
      </c>
      <c r="G50" s="4"/>
      <c r="H50" s="4"/>
      <c r="I50" s="4" t="s">
        <v>73</v>
      </c>
      <c r="J50" s="4" t="s">
        <v>73</v>
      </c>
      <c r="K50" s="6">
        <v>15129.06</v>
      </c>
      <c r="L50" s="6"/>
      <c r="M50" s="6">
        <f t="shared" si="0"/>
        <v>23382.17</v>
      </c>
      <c r="N50" s="4" t="s">
        <v>64</v>
      </c>
      <c r="O50" s="4" t="s">
        <v>65</v>
      </c>
      <c r="P50" s="4" t="s">
        <v>66</v>
      </c>
      <c r="Q50" s="4"/>
      <c r="R50" s="4" t="s">
        <v>0</v>
      </c>
      <c r="S50" s="4"/>
    </row>
    <row r="51" spans="1:19" x14ac:dyDescent="0.2">
      <c r="A51" s="15" t="s">
        <v>74</v>
      </c>
      <c r="B51" s="11"/>
      <c r="C51" s="11"/>
      <c r="D51" s="11"/>
      <c r="E51" s="12"/>
      <c r="F51" s="11"/>
      <c r="G51" s="11"/>
      <c r="H51" s="11"/>
      <c r="I51" s="11"/>
      <c r="J51" s="11"/>
      <c r="K51" s="13">
        <f>SUM(K45:K50)</f>
        <v>23382.17</v>
      </c>
      <c r="L51" s="13">
        <f>SUM(L45:L50)</f>
        <v>7624.58</v>
      </c>
      <c r="M51" s="13">
        <f>M50</f>
        <v>23382.17</v>
      </c>
      <c r="N51" s="11"/>
      <c r="O51" s="11"/>
      <c r="P51" s="11"/>
      <c r="Q51" s="11"/>
      <c r="R51" s="11"/>
      <c r="S51" s="11"/>
    </row>
    <row r="52" spans="1:19" x14ac:dyDescent="0.2">
      <c r="A52" s="11" t="s">
        <v>75</v>
      </c>
      <c r="B52" s="11"/>
      <c r="C52" s="11"/>
      <c r="D52" s="11"/>
      <c r="E52" s="12"/>
      <c r="F52" s="11"/>
      <c r="G52" s="11"/>
      <c r="H52" s="11"/>
      <c r="I52" s="11"/>
      <c r="J52" s="11"/>
      <c r="K52" s="13">
        <f>SUM(K44,K51)</f>
        <v>23382.17</v>
      </c>
      <c r="L52" s="13">
        <f>SUM(L44,L51)</f>
        <v>7624.58</v>
      </c>
      <c r="M52" s="13">
        <f>M44+M51</f>
        <v>23382.17</v>
      </c>
      <c r="N52" s="11"/>
      <c r="O52" s="11"/>
      <c r="P52" s="11"/>
      <c r="Q52" s="11"/>
      <c r="R52" s="11"/>
      <c r="S52" s="11"/>
    </row>
    <row r="54" spans="1:19" x14ac:dyDescent="0.2">
      <c r="A54" s="3" t="s">
        <v>76</v>
      </c>
      <c r="B54" s="4"/>
      <c r="C54" s="4"/>
      <c r="D54" s="4"/>
      <c r="E54" s="5"/>
      <c r="F54" s="4"/>
      <c r="G54" s="4"/>
      <c r="H54" s="4"/>
      <c r="I54" s="4"/>
      <c r="J54" s="4"/>
      <c r="K54" s="6"/>
      <c r="L54" s="6"/>
      <c r="M54" s="6">
        <v>0</v>
      </c>
      <c r="N54" s="4"/>
      <c r="O54" s="4"/>
      <c r="P54" s="4"/>
      <c r="Q54" s="4"/>
      <c r="R54" s="4"/>
      <c r="S54" s="4"/>
    </row>
    <row r="55" spans="1:19" x14ac:dyDescent="0.2">
      <c r="A55" s="7" t="s">
        <v>77</v>
      </c>
      <c r="B55" s="4"/>
      <c r="C55" s="4"/>
      <c r="D55" s="4"/>
      <c r="E55" s="5"/>
      <c r="F55" s="4"/>
      <c r="G55" s="4"/>
      <c r="H55" s="4"/>
      <c r="I55" s="4"/>
      <c r="J55" s="4"/>
      <c r="K55" s="6"/>
      <c r="L55" s="6"/>
      <c r="M55" s="6">
        <v>3257</v>
      </c>
      <c r="N55" s="4"/>
      <c r="O55" s="4"/>
      <c r="P55" s="4"/>
      <c r="Q55" s="4"/>
      <c r="R55" s="4"/>
      <c r="S55" s="4"/>
    </row>
    <row r="56" spans="1:19" x14ac:dyDescent="0.2">
      <c r="A56" s="16"/>
      <c r="B56" s="4" t="s">
        <v>45</v>
      </c>
      <c r="C56" s="4" t="s">
        <v>78</v>
      </c>
      <c r="D56" s="4" t="s">
        <v>79</v>
      </c>
      <c r="E56" s="5">
        <v>44957</v>
      </c>
      <c r="F56" s="4" t="s">
        <v>80</v>
      </c>
      <c r="G56" s="4"/>
      <c r="H56" s="4"/>
      <c r="I56" s="4" t="s">
        <v>81</v>
      </c>
      <c r="J56" s="4" t="s">
        <v>81</v>
      </c>
      <c r="K56" s="6"/>
      <c r="L56" s="6">
        <v>3570.8</v>
      </c>
      <c r="M56" s="6">
        <f t="shared" ref="M56:M69" si="1">M55+K56-L56</f>
        <v>-313.80000000000018</v>
      </c>
      <c r="N56" s="4" t="s">
        <v>64</v>
      </c>
      <c r="O56" s="4" t="s">
        <v>65</v>
      </c>
      <c r="P56" s="4" t="s">
        <v>66</v>
      </c>
      <c r="Q56" s="4"/>
      <c r="R56" s="4" t="s">
        <v>0</v>
      </c>
      <c r="S56" s="4"/>
    </row>
    <row r="57" spans="1:19" x14ac:dyDescent="0.2">
      <c r="A57" s="16"/>
      <c r="B57" s="4" t="s">
        <v>45</v>
      </c>
      <c r="C57" s="4" t="s">
        <v>78</v>
      </c>
      <c r="D57" s="4" t="s">
        <v>79</v>
      </c>
      <c r="E57" s="5">
        <v>44985</v>
      </c>
      <c r="F57" s="4" t="s">
        <v>82</v>
      </c>
      <c r="G57" s="4"/>
      <c r="H57" s="4"/>
      <c r="I57" s="4" t="s">
        <v>83</v>
      </c>
      <c r="J57" s="4" t="s">
        <v>83</v>
      </c>
      <c r="K57" s="6"/>
      <c r="L57" s="6">
        <v>3342.73</v>
      </c>
      <c r="M57" s="6">
        <f t="shared" si="1"/>
        <v>-3656.53</v>
      </c>
      <c r="N57" s="4" t="s">
        <v>64</v>
      </c>
      <c r="O57" s="4" t="s">
        <v>65</v>
      </c>
      <c r="P57" s="4" t="s">
        <v>66</v>
      </c>
      <c r="Q57" s="4"/>
      <c r="R57" s="4" t="s">
        <v>0</v>
      </c>
      <c r="S57" s="4"/>
    </row>
    <row r="58" spans="1:19" x14ac:dyDescent="0.2">
      <c r="A58" s="16"/>
      <c r="B58" s="4" t="s">
        <v>45</v>
      </c>
      <c r="C58" s="4" t="s">
        <v>78</v>
      </c>
      <c r="D58" s="4" t="s">
        <v>79</v>
      </c>
      <c r="E58" s="5">
        <v>45016</v>
      </c>
      <c r="F58" s="4" t="s">
        <v>84</v>
      </c>
      <c r="G58" s="4"/>
      <c r="H58" s="4"/>
      <c r="I58" s="4" t="s">
        <v>85</v>
      </c>
      <c r="J58" s="4" t="s">
        <v>86</v>
      </c>
      <c r="K58" s="6"/>
      <c r="L58" s="6">
        <v>5015.1000000000004</v>
      </c>
      <c r="M58" s="6">
        <f t="shared" si="1"/>
        <v>-8671.630000000001</v>
      </c>
      <c r="N58" s="4" t="s">
        <v>64</v>
      </c>
      <c r="O58" s="4" t="s">
        <v>65</v>
      </c>
      <c r="P58" s="4" t="s">
        <v>66</v>
      </c>
      <c r="Q58" s="4"/>
      <c r="R58" s="4" t="s">
        <v>0</v>
      </c>
      <c r="S58" s="4"/>
    </row>
    <row r="59" spans="1:19" x14ac:dyDescent="0.2">
      <c r="A59" s="16"/>
      <c r="B59" s="4" t="s">
        <v>45</v>
      </c>
      <c r="C59" s="4" t="s">
        <v>78</v>
      </c>
      <c r="D59" s="4" t="s">
        <v>79</v>
      </c>
      <c r="E59" s="5">
        <v>45046</v>
      </c>
      <c r="F59" s="4" t="s">
        <v>87</v>
      </c>
      <c r="G59" s="4"/>
      <c r="H59" s="4"/>
      <c r="I59" s="4" t="s">
        <v>88</v>
      </c>
      <c r="J59" s="4" t="s">
        <v>89</v>
      </c>
      <c r="K59" s="6"/>
      <c r="L59" s="6">
        <v>2915.79</v>
      </c>
      <c r="M59" s="6">
        <f t="shared" si="1"/>
        <v>-11587.420000000002</v>
      </c>
      <c r="N59" s="4" t="s">
        <v>64</v>
      </c>
      <c r="O59" s="4" t="s">
        <v>65</v>
      </c>
      <c r="P59" s="4" t="s">
        <v>66</v>
      </c>
      <c r="Q59" s="4"/>
      <c r="R59" s="4" t="s">
        <v>0</v>
      </c>
      <c r="S59" s="4"/>
    </row>
    <row r="60" spans="1:19" x14ac:dyDescent="0.2">
      <c r="A60" s="16"/>
      <c r="B60" s="4" t="s">
        <v>45</v>
      </c>
      <c r="C60" s="4" t="s">
        <v>78</v>
      </c>
      <c r="D60" s="4" t="s">
        <v>79</v>
      </c>
      <c r="E60" s="5">
        <v>45077</v>
      </c>
      <c r="F60" s="4" t="s">
        <v>90</v>
      </c>
      <c r="G60" s="4"/>
      <c r="H60" s="4"/>
      <c r="I60" s="4" t="s">
        <v>91</v>
      </c>
      <c r="J60" s="4" t="s">
        <v>91</v>
      </c>
      <c r="K60" s="6"/>
      <c r="L60" s="6">
        <v>5840</v>
      </c>
      <c r="M60" s="6">
        <f t="shared" si="1"/>
        <v>-17427.420000000002</v>
      </c>
      <c r="N60" s="4" t="s">
        <v>64</v>
      </c>
      <c r="O60" s="4" t="s">
        <v>92</v>
      </c>
      <c r="P60" s="4" t="s">
        <v>66</v>
      </c>
      <c r="Q60" s="4"/>
      <c r="R60" s="4" t="s">
        <v>0</v>
      </c>
      <c r="S60" s="4"/>
    </row>
    <row r="61" spans="1:19" x14ac:dyDescent="0.2">
      <c r="A61" s="16"/>
      <c r="B61" s="4" t="s">
        <v>45</v>
      </c>
      <c r="C61" s="4" t="s">
        <v>78</v>
      </c>
      <c r="D61" s="4" t="s">
        <v>79</v>
      </c>
      <c r="E61" s="5">
        <v>45080</v>
      </c>
      <c r="F61" s="4" t="s">
        <v>93</v>
      </c>
      <c r="G61" s="4"/>
      <c r="H61" s="4"/>
      <c r="I61" s="4" t="s">
        <v>94</v>
      </c>
      <c r="J61" s="4" t="s">
        <v>94</v>
      </c>
      <c r="K61" s="6">
        <v>7975.5</v>
      </c>
      <c r="L61" s="6"/>
      <c r="M61" s="6">
        <f t="shared" si="1"/>
        <v>-9451.9200000000019</v>
      </c>
      <c r="N61" s="4" t="s">
        <v>64</v>
      </c>
      <c r="O61" s="4" t="s">
        <v>65</v>
      </c>
      <c r="P61" s="4" t="s">
        <v>66</v>
      </c>
      <c r="Q61" s="4"/>
      <c r="R61" s="4" t="s">
        <v>0</v>
      </c>
      <c r="S61" s="4"/>
    </row>
    <row r="62" spans="1:19" x14ac:dyDescent="0.2">
      <c r="A62" s="16"/>
      <c r="B62" s="4" t="s">
        <v>45</v>
      </c>
      <c r="C62" s="4" t="s">
        <v>78</v>
      </c>
      <c r="D62" s="4" t="s">
        <v>79</v>
      </c>
      <c r="E62" s="5">
        <v>45093</v>
      </c>
      <c r="F62" s="4" t="s">
        <v>95</v>
      </c>
      <c r="G62" s="4"/>
      <c r="H62" s="4"/>
      <c r="I62" s="4" t="s">
        <v>96</v>
      </c>
      <c r="J62" s="4" t="s">
        <v>96</v>
      </c>
      <c r="K62" s="6">
        <v>3570.8</v>
      </c>
      <c r="L62" s="6"/>
      <c r="M62" s="6">
        <f t="shared" si="1"/>
        <v>-5881.1200000000017</v>
      </c>
      <c r="N62" s="4" t="s">
        <v>64</v>
      </c>
      <c r="O62" s="4" t="s">
        <v>65</v>
      </c>
      <c r="P62" s="4" t="s">
        <v>66</v>
      </c>
      <c r="Q62" s="4"/>
      <c r="R62" s="4" t="s">
        <v>0</v>
      </c>
      <c r="S62" s="4"/>
    </row>
    <row r="63" spans="1:19" x14ac:dyDescent="0.2">
      <c r="A63" s="16"/>
      <c r="B63" s="4" t="s">
        <v>45</v>
      </c>
      <c r="C63" s="4" t="s">
        <v>78</v>
      </c>
      <c r="D63" s="4" t="s">
        <v>79</v>
      </c>
      <c r="E63" s="5">
        <v>45093</v>
      </c>
      <c r="F63" s="4" t="s">
        <v>97</v>
      </c>
      <c r="G63" s="4"/>
      <c r="H63" s="4"/>
      <c r="I63" s="4" t="s">
        <v>98</v>
      </c>
      <c r="J63" s="4" t="s">
        <v>98</v>
      </c>
      <c r="K63" s="6">
        <v>3342.73</v>
      </c>
      <c r="L63" s="6"/>
      <c r="M63" s="6">
        <f t="shared" si="1"/>
        <v>-2538.3900000000017</v>
      </c>
      <c r="N63" s="4" t="s">
        <v>64</v>
      </c>
      <c r="O63" s="4" t="s">
        <v>65</v>
      </c>
      <c r="P63" s="4" t="s">
        <v>66</v>
      </c>
      <c r="Q63" s="4"/>
      <c r="R63" s="4" t="s">
        <v>0</v>
      </c>
      <c r="S63" s="4"/>
    </row>
    <row r="64" spans="1:19" x14ac:dyDescent="0.2">
      <c r="A64" s="16"/>
      <c r="B64" s="4" t="s">
        <v>45</v>
      </c>
      <c r="C64" s="4" t="s">
        <v>78</v>
      </c>
      <c r="D64" s="4" t="s">
        <v>79</v>
      </c>
      <c r="E64" s="5">
        <v>45107</v>
      </c>
      <c r="F64" s="4" t="s">
        <v>99</v>
      </c>
      <c r="G64" s="4"/>
      <c r="H64" s="4"/>
      <c r="I64" s="4" t="s">
        <v>100</v>
      </c>
      <c r="J64" s="4" t="s">
        <v>100</v>
      </c>
      <c r="K64" s="6"/>
      <c r="L64" s="6">
        <v>6038.7</v>
      </c>
      <c r="M64" s="6">
        <f t="shared" si="1"/>
        <v>-8577.090000000002</v>
      </c>
      <c r="N64" s="4" t="s">
        <v>64</v>
      </c>
      <c r="O64" s="4" t="s">
        <v>92</v>
      </c>
      <c r="P64" s="4" t="s">
        <v>66</v>
      </c>
      <c r="Q64" s="4"/>
      <c r="R64" s="4" t="s">
        <v>0</v>
      </c>
      <c r="S64" s="4"/>
    </row>
    <row r="65" spans="1:19" x14ac:dyDescent="0.2">
      <c r="A65" s="16"/>
      <c r="B65" s="4" t="s">
        <v>45</v>
      </c>
      <c r="C65" s="4" t="s">
        <v>78</v>
      </c>
      <c r="D65" s="4" t="s">
        <v>79</v>
      </c>
      <c r="E65" s="5">
        <v>45117</v>
      </c>
      <c r="F65" s="4" t="s">
        <v>101</v>
      </c>
      <c r="G65" s="4"/>
      <c r="H65" s="4"/>
      <c r="I65" s="4" t="s">
        <v>102</v>
      </c>
      <c r="J65" s="4" t="s">
        <v>102</v>
      </c>
      <c r="K65" s="6">
        <v>6114.18</v>
      </c>
      <c r="L65" s="6"/>
      <c r="M65" s="6">
        <f t="shared" si="1"/>
        <v>-2462.9100000000017</v>
      </c>
      <c r="N65" s="4" t="s">
        <v>64</v>
      </c>
      <c r="O65" s="4" t="s">
        <v>65</v>
      </c>
      <c r="P65" s="4" t="s">
        <v>66</v>
      </c>
      <c r="Q65" s="4"/>
      <c r="R65" s="4" t="s">
        <v>0</v>
      </c>
      <c r="S65" s="4"/>
    </row>
    <row r="66" spans="1:19" x14ac:dyDescent="0.2">
      <c r="A66" s="16"/>
      <c r="B66" s="4" t="s">
        <v>45</v>
      </c>
      <c r="C66" s="4" t="s">
        <v>78</v>
      </c>
      <c r="D66" s="4" t="s">
        <v>79</v>
      </c>
      <c r="E66" s="5">
        <v>45141</v>
      </c>
      <c r="F66" s="4" t="s">
        <v>103</v>
      </c>
      <c r="G66" s="4"/>
      <c r="H66" s="4"/>
      <c r="I66" s="4" t="s">
        <v>104</v>
      </c>
      <c r="J66" s="4" t="s">
        <v>104</v>
      </c>
      <c r="K66" s="6">
        <v>5015.1000000000004</v>
      </c>
      <c r="L66" s="6"/>
      <c r="M66" s="6">
        <f t="shared" si="1"/>
        <v>2552.1899999999987</v>
      </c>
      <c r="N66" s="4" t="s">
        <v>64</v>
      </c>
      <c r="O66" s="4" t="s">
        <v>65</v>
      </c>
      <c r="P66" s="4" t="s">
        <v>66</v>
      </c>
      <c r="Q66" s="4"/>
      <c r="R66" s="4" t="s">
        <v>0</v>
      </c>
      <c r="S66" s="4"/>
    </row>
    <row r="67" spans="1:19" x14ac:dyDescent="0.2">
      <c r="A67" s="16"/>
      <c r="B67" s="4" t="s">
        <v>45</v>
      </c>
      <c r="C67" s="4" t="s">
        <v>78</v>
      </c>
      <c r="D67" s="4" t="s">
        <v>79</v>
      </c>
      <c r="E67" s="5">
        <v>45141</v>
      </c>
      <c r="F67" s="4" t="s">
        <v>105</v>
      </c>
      <c r="G67" s="4"/>
      <c r="H67" s="4"/>
      <c r="I67" s="4" t="s">
        <v>106</v>
      </c>
      <c r="J67" s="4" t="s">
        <v>106</v>
      </c>
      <c r="K67" s="6">
        <v>2915.79</v>
      </c>
      <c r="L67" s="6"/>
      <c r="M67" s="6">
        <f t="shared" si="1"/>
        <v>5467.9799999999987</v>
      </c>
      <c r="N67" s="4" t="s">
        <v>64</v>
      </c>
      <c r="O67" s="4" t="s">
        <v>65</v>
      </c>
      <c r="P67" s="4" t="s">
        <v>66</v>
      </c>
      <c r="Q67" s="4"/>
      <c r="R67" s="4" t="s">
        <v>0</v>
      </c>
      <c r="S67" s="4"/>
    </row>
    <row r="68" spans="1:19" x14ac:dyDescent="0.2">
      <c r="A68" s="16"/>
      <c r="B68" s="4" t="s">
        <v>45</v>
      </c>
      <c r="C68" s="4" t="s">
        <v>78</v>
      </c>
      <c r="D68" s="4" t="s">
        <v>79</v>
      </c>
      <c r="E68" s="5">
        <v>45169</v>
      </c>
      <c r="F68" s="4" t="s">
        <v>107</v>
      </c>
      <c r="G68" s="4"/>
      <c r="H68" s="4"/>
      <c r="I68" s="4" t="s">
        <v>108</v>
      </c>
      <c r="J68" s="4" t="s">
        <v>109</v>
      </c>
      <c r="K68" s="6"/>
      <c r="L68" s="6">
        <v>4997</v>
      </c>
      <c r="M68" s="6">
        <f t="shared" si="1"/>
        <v>470.97999999999865</v>
      </c>
      <c r="N68" s="4" t="s">
        <v>64</v>
      </c>
      <c r="O68" s="4" t="s">
        <v>65</v>
      </c>
      <c r="P68" s="4" t="s">
        <v>66</v>
      </c>
      <c r="Q68" s="4"/>
      <c r="R68" s="4" t="s">
        <v>0</v>
      </c>
      <c r="S68" s="4"/>
    </row>
    <row r="69" spans="1:19" x14ac:dyDescent="0.2">
      <c r="A69" s="16"/>
      <c r="B69" s="4" t="s">
        <v>45</v>
      </c>
      <c r="C69" s="4" t="s">
        <v>78</v>
      </c>
      <c r="D69" s="4" t="s">
        <v>79</v>
      </c>
      <c r="E69" s="5">
        <v>45187</v>
      </c>
      <c r="F69" s="4" t="s">
        <v>110</v>
      </c>
      <c r="G69" s="4"/>
      <c r="H69" s="4"/>
      <c r="I69" s="4" t="s">
        <v>111</v>
      </c>
      <c r="J69" s="4" t="s">
        <v>112</v>
      </c>
      <c r="K69" s="6">
        <v>516.07000000000005</v>
      </c>
      <c r="L69" s="6"/>
      <c r="M69" s="6">
        <f t="shared" si="1"/>
        <v>987.0499999999987</v>
      </c>
      <c r="N69" s="4" t="s">
        <v>64</v>
      </c>
      <c r="O69" s="4" t="s">
        <v>92</v>
      </c>
      <c r="P69" s="4" t="s">
        <v>66</v>
      </c>
      <c r="Q69" s="4"/>
      <c r="R69" s="4" t="s">
        <v>0</v>
      </c>
      <c r="S69" s="4"/>
    </row>
    <row r="70" spans="1:19" x14ac:dyDescent="0.2">
      <c r="A70" s="15" t="s">
        <v>113</v>
      </c>
      <c r="B70" s="11"/>
      <c r="C70" s="11"/>
      <c r="D70" s="11"/>
      <c r="E70" s="12"/>
      <c r="F70" s="11"/>
      <c r="G70" s="11"/>
      <c r="H70" s="11"/>
      <c r="I70" s="11"/>
      <c r="J70" s="11"/>
      <c r="K70" s="13">
        <f>SUM(K55:K69)</f>
        <v>29450.17</v>
      </c>
      <c r="L70" s="13">
        <f>SUM(L55:L69)</f>
        <v>31720.120000000003</v>
      </c>
      <c r="M70" s="13">
        <f>M69</f>
        <v>987.0499999999987</v>
      </c>
      <c r="N70" s="11"/>
      <c r="O70" s="11"/>
      <c r="P70" s="11"/>
      <c r="Q70" s="11"/>
      <c r="R70" s="11"/>
      <c r="S70" s="11"/>
    </row>
    <row r="71" spans="1:19" x14ac:dyDescent="0.2">
      <c r="A71" s="11" t="s">
        <v>114</v>
      </c>
      <c r="B71" s="11"/>
      <c r="C71" s="11"/>
      <c r="D71" s="11"/>
      <c r="E71" s="12"/>
      <c r="F71" s="11"/>
      <c r="G71" s="11"/>
      <c r="H71" s="11"/>
      <c r="I71" s="11"/>
      <c r="J71" s="11"/>
      <c r="K71" s="13">
        <f>SUM(K54,K70)</f>
        <v>29450.17</v>
      </c>
      <c r="L71" s="13">
        <f>SUM(L54,L70)</f>
        <v>31720.120000000003</v>
      </c>
      <c r="M71" s="13">
        <f>M54+M70</f>
        <v>987.0499999999987</v>
      </c>
      <c r="N71" s="11"/>
      <c r="O71" s="11"/>
      <c r="P71" s="11"/>
      <c r="Q71" s="11"/>
      <c r="R71" s="11"/>
      <c r="S71" s="11"/>
    </row>
    <row r="73" spans="1:19" x14ac:dyDescent="0.2">
      <c r="A73" s="3" t="s">
        <v>115</v>
      </c>
      <c r="B73" s="4"/>
      <c r="C73" s="4"/>
      <c r="D73" s="4"/>
      <c r="E73" s="5"/>
      <c r="F73" s="4"/>
      <c r="G73" s="4"/>
      <c r="H73" s="4"/>
      <c r="I73" s="4"/>
      <c r="J73" s="4"/>
      <c r="K73" s="6"/>
      <c r="L73" s="6"/>
      <c r="M73" s="6">
        <v>0</v>
      </c>
      <c r="N73" s="4"/>
      <c r="O73" s="4"/>
      <c r="P73" s="4"/>
      <c r="Q73" s="4"/>
      <c r="R73" s="4"/>
      <c r="S73" s="4"/>
    </row>
    <row r="74" spans="1:19" x14ac:dyDescent="0.2">
      <c r="A74" s="7" t="s">
        <v>116</v>
      </c>
      <c r="B74" s="4"/>
      <c r="C74" s="4"/>
      <c r="D74" s="4"/>
      <c r="E74" s="5"/>
      <c r="F74" s="4"/>
      <c r="G74" s="4"/>
      <c r="H74" s="4"/>
      <c r="I74" s="4"/>
      <c r="J74" s="4"/>
      <c r="K74" s="6"/>
      <c r="L74" s="6"/>
      <c r="M74" s="6">
        <v>0</v>
      </c>
      <c r="N74" s="4"/>
      <c r="O74" s="4"/>
      <c r="P74" s="4"/>
      <c r="Q74" s="4"/>
      <c r="R74" s="4"/>
      <c r="S74" s="4"/>
    </row>
    <row r="75" spans="1:19" x14ac:dyDescent="0.2">
      <c r="A75" s="8" t="s">
        <v>117</v>
      </c>
      <c r="B75" s="4"/>
      <c r="C75" s="4"/>
      <c r="D75" s="4"/>
      <c r="E75" s="5"/>
      <c r="F75" s="4"/>
      <c r="G75" s="4"/>
      <c r="H75" s="4"/>
      <c r="I75" s="4"/>
      <c r="J75" s="4"/>
      <c r="K75" s="6"/>
      <c r="L75" s="6"/>
      <c r="M75" s="6">
        <v>28850.73</v>
      </c>
      <c r="N75" s="4"/>
      <c r="O75" s="4"/>
      <c r="P75" s="4"/>
      <c r="Q75" s="4"/>
      <c r="R75" s="4"/>
      <c r="S75" s="4"/>
    </row>
    <row r="76" spans="1:19" x14ac:dyDescent="0.2">
      <c r="A76" s="17"/>
      <c r="B76" s="4" t="s">
        <v>45</v>
      </c>
      <c r="C76" s="4" t="s">
        <v>118</v>
      </c>
      <c r="D76" s="4" t="s">
        <v>119</v>
      </c>
      <c r="E76" s="5">
        <v>44927</v>
      </c>
      <c r="F76" s="4" t="s">
        <v>120</v>
      </c>
      <c r="G76" s="4"/>
      <c r="H76" s="4"/>
      <c r="I76" s="4" t="s">
        <v>121</v>
      </c>
      <c r="J76" s="4" t="s">
        <v>121</v>
      </c>
      <c r="K76" s="6"/>
      <c r="L76" s="6">
        <v>10</v>
      </c>
      <c r="M76" s="6">
        <f t="shared" ref="M76:M139" si="2">M75+K76-L76</f>
        <v>28840.73</v>
      </c>
      <c r="N76" s="4" t="s">
        <v>64</v>
      </c>
      <c r="O76" s="4" t="s">
        <v>65</v>
      </c>
      <c r="P76" s="4" t="s">
        <v>66</v>
      </c>
      <c r="Q76" s="4"/>
      <c r="R76" s="4" t="s">
        <v>0</v>
      </c>
      <c r="S76" s="4"/>
    </row>
    <row r="77" spans="1:19" x14ac:dyDescent="0.2">
      <c r="A77" s="17"/>
      <c r="B77" s="4" t="s">
        <v>45</v>
      </c>
      <c r="C77" s="4" t="s">
        <v>118</v>
      </c>
      <c r="D77" s="4" t="s">
        <v>119</v>
      </c>
      <c r="E77" s="5">
        <v>44927</v>
      </c>
      <c r="F77" s="4" t="s">
        <v>122</v>
      </c>
      <c r="G77" s="4"/>
      <c r="H77" s="4"/>
      <c r="I77" s="4" t="s">
        <v>123</v>
      </c>
      <c r="J77" s="4" t="s">
        <v>123</v>
      </c>
      <c r="K77" s="6"/>
      <c r="L77" s="6">
        <v>0.5</v>
      </c>
      <c r="M77" s="6">
        <f t="shared" si="2"/>
        <v>28840.23</v>
      </c>
      <c r="N77" s="4" t="s">
        <v>64</v>
      </c>
      <c r="O77" s="4" t="s">
        <v>65</v>
      </c>
      <c r="P77" s="4" t="s">
        <v>66</v>
      </c>
      <c r="Q77" s="4"/>
      <c r="R77" s="4" t="s">
        <v>0</v>
      </c>
      <c r="S77" s="4"/>
    </row>
    <row r="78" spans="1:19" x14ac:dyDescent="0.2">
      <c r="A78" s="17"/>
      <c r="B78" s="4" t="s">
        <v>45</v>
      </c>
      <c r="C78" s="4" t="s">
        <v>118</v>
      </c>
      <c r="D78" s="4" t="s">
        <v>119</v>
      </c>
      <c r="E78" s="5">
        <v>44927</v>
      </c>
      <c r="F78" s="4" t="s">
        <v>124</v>
      </c>
      <c r="G78" s="4"/>
      <c r="H78" s="4"/>
      <c r="I78" s="4" t="s">
        <v>125</v>
      </c>
      <c r="J78" s="4" t="s">
        <v>126</v>
      </c>
      <c r="K78" s="6"/>
      <c r="L78" s="6">
        <v>10631.25</v>
      </c>
      <c r="M78" s="6">
        <f t="shared" si="2"/>
        <v>18208.98</v>
      </c>
      <c r="N78" s="4" t="s">
        <v>64</v>
      </c>
      <c r="O78" s="4" t="s">
        <v>92</v>
      </c>
      <c r="P78" s="4" t="s">
        <v>66</v>
      </c>
      <c r="Q78" s="4"/>
      <c r="R78" s="4" t="s">
        <v>0</v>
      </c>
      <c r="S78" s="4"/>
    </row>
    <row r="79" spans="1:19" x14ac:dyDescent="0.2">
      <c r="A79" s="17"/>
      <c r="B79" s="4" t="s">
        <v>45</v>
      </c>
      <c r="C79" s="4" t="s">
        <v>118</v>
      </c>
      <c r="D79" s="4" t="s">
        <v>119</v>
      </c>
      <c r="E79" s="5">
        <v>44928</v>
      </c>
      <c r="F79" s="4" t="s">
        <v>127</v>
      </c>
      <c r="G79" s="4"/>
      <c r="H79" s="4"/>
      <c r="I79" s="4" t="s">
        <v>128</v>
      </c>
      <c r="J79" s="4" t="s">
        <v>128</v>
      </c>
      <c r="K79" s="6"/>
      <c r="L79" s="6">
        <v>6400</v>
      </c>
      <c r="M79" s="6">
        <f t="shared" si="2"/>
        <v>11808.98</v>
      </c>
      <c r="N79" s="4" t="s">
        <v>64</v>
      </c>
      <c r="O79" s="4" t="s">
        <v>65</v>
      </c>
      <c r="P79" s="4" t="s">
        <v>66</v>
      </c>
      <c r="Q79" s="4"/>
      <c r="R79" s="4" t="s">
        <v>0</v>
      </c>
      <c r="S79" s="4"/>
    </row>
    <row r="80" spans="1:19" x14ac:dyDescent="0.2">
      <c r="A80" s="17"/>
      <c r="B80" s="4" t="s">
        <v>45</v>
      </c>
      <c r="C80" s="4" t="s">
        <v>118</v>
      </c>
      <c r="D80" s="4" t="s">
        <v>119</v>
      </c>
      <c r="E80" s="5">
        <v>44931</v>
      </c>
      <c r="F80" s="4" t="s">
        <v>129</v>
      </c>
      <c r="G80" s="4"/>
      <c r="H80" s="4"/>
      <c r="I80" s="4" t="s">
        <v>130</v>
      </c>
      <c r="J80" s="4" t="s">
        <v>130</v>
      </c>
      <c r="K80" s="6"/>
      <c r="L80" s="6">
        <v>10462.25</v>
      </c>
      <c r="M80" s="6">
        <f t="shared" si="2"/>
        <v>1346.7299999999996</v>
      </c>
      <c r="N80" s="4" t="s">
        <v>64</v>
      </c>
      <c r="O80" s="4" t="s">
        <v>92</v>
      </c>
      <c r="P80" s="4" t="s">
        <v>66</v>
      </c>
      <c r="Q80" s="4"/>
      <c r="R80" s="4" t="s">
        <v>0</v>
      </c>
      <c r="S80" s="4"/>
    </row>
    <row r="81" spans="1:19" x14ac:dyDescent="0.2">
      <c r="A81" s="17"/>
      <c r="B81" s="4" t="s">
        <v>45</v>
      </c>
      <c r="C81" s="4" t="s">
        <v>118</v>
      </c>
      <c r="D81" s="4" t="s">
        <v>119</v>
      </c>
      <c r="E81" s="5">
        <v>44931</v>
      </c>
      <c r="F81" s="4" t="s">
        <v>131</v>
      </c>
      <c r="G81" s="4"/>
      <c r="H81" s="4"/>
      <c r="I81" s="4" t="s">
        <v>132</v>
      </c>
      <c r="J81" s="4" t="s">
        <v>132</v>
      </c>
      <c r="K81" s="6"/>
      <c r="L81" s="6">
        <v>4297.18</v>
      </c>
      <c r="M81" s="6">
        <f t="shared" si="2"/>
        <v>-2950.4500000000007</v>
      </c>
      <c r="N81" s="4" t="s">
        <v>64</v>
      </c>
      <c r="O81" s="4" t="s">
        <v>65</v>
      </c>
      <c r="P81" s="4" t="s">
        <v>66</v>
      </c>
      <c r="Q81" s="4"/>
      <c r="R81" s="4" t="s">
        <v>0</v>
      </c>
      <c r="S81" s="4"/>
    </row>
    <row r="82" spans="1:19" x14ac:dyDescent="0.2">
      <c r="A82" s="17"/>
      <c r="B82" s="4" t="s">
        <v>45</v>
      </c>
      <c r="C82" s="4" t="s">
        <v>118</v>
      </c>
      <c r="D82" s="4" t="s">
        <v>119</v>
      </c>
      <c r="E82" s="5">
        <v>44932</v>
      </c>
      <c r="F82" s="4" t="s">
        <v>133</v>
      </c>
      <c r="G82" s="4"/>
      <c r="H82" s="4"/>
      <c r="I82" s="4" t="s">
        <v>134</v>
      </c>
      <c r="J82" s="4" t="s">
        <v>135</v>
      </c>
      <c r="K82" s="6"/>
      <c r="L82" s="6">
        <v>5181</v>
      </c>
      <c r="M82" s="6">
        <f t="shared" si="2"/>
        <v>-8131.4500000000007</v>
      </c>
      <c r="N82" s="4" t="s">
        <v>64</v>
      </c>
      <c r="O82" s="4" t="s">
        <v>65</v>
      </c>
      <c r="P82" s="4" t="s">
        <v>66</v>
      </c>
      <c r="Q82" s="4"/>
      <c r="R82" s="4" t="s">
        <v>0</v>
      </c>
      <c r="S82" s="4"/>
    </row>
    <row r="83" spans="1:19" x14ac:dyDescent="0.2">
      <c r="A83" s="17"/>
      <c r="B83" s="4" t="s">
        <v>45</v>
      </c>
      <c r="C83" s="4" t="s">
        <v>118</v>
      </c>
      <c r="D83" s="4" t="s">
        <v>119</v>
      </c>
      <c r="E83" s="5">
        <v>44932</v>
      </c>
      <c r="F83" s="4" t="s">
        <v>136</v>
      </c>
      <c r="G83" s="4"/>
      <c r="H83" s="4"/>
      <c r="I83" s="4" t="s">
        <v>137</v>
      </c>
      <c r="J83" s="4" t="s">
        <v>137</v>
      </c>
      <c r="K83" s="6"/>
      <c r="L83" s="6">
        <v>24553</v>
      </c>
      <c r="M83" s="6">
        <f t="shared" si="2"/>
        <v>-32684.45</v>
      </c>
      <c r="N83" s="4" t="s">
        <v>64</v>
      </c>
      <c r="O83" s="4" t="s">
        <v>65</v>
      </c>
      <c r="P83" s="4" t="s">
        <v>66</v>
      </c>
      <c r="Q83" s="4"/>
      <c r="R83" s="4" t="s">
        <v>0</v>
      </c>
      <c r="S83" s="4"/>
    </row>
    <row r="84" spans="1:19" x14ac:dyDescent="0.2">
      <c r="A84" s="17"/>
      <c r="B84" s="4" t="s">
        <v>45</v>
      </c>
      <c r="C84" s="4" t="s">
        <v>118</v>
      </c>
      <c r="D84" s="4" t="s">
        <v>119</v>
      </c>
      <c r="E84" s="5">
        <v>44933</v>
      </c>
      <c r="F84" s="4" t="s">
        <v>138</v>
      </c>
      <c r="G84" s="4"/>
      <c r="H84" s="4"/>
      <c r="I84" s="4" t="s">
        <v>139</v>
      </c>
      <c r="J84" s="4" t="s">
        <v>139</v>
      </c>
      <c r="K84" s="6"/>
      <c r="L84" s="6">
        <v>81583</v>
      </c>
      <c r="M84" s="6">
        <f t="shared" si="2"/>
        <v>-114267.45</v>
      </c>
      <c r="N84" s="4" t="s">
        <v>64</v>
      </c>
      <c r="O84" s="4" t="s">
        <v>65</v>
      </c>
      <c r="P84" s="4" t="s">
        <v>66</v>
      </c>
      <c r="Q84" s="4"/>
      <c r="R84" s="4" t="s">
        <v>0</v>
      </c>
      <c r="S84" s="4"/>
    </row>
    <row r="85" spans="1:19" x14ac:dyDescent="0.2">
      <c r="A85" s="17"/>
      <c r="B85" s="4" t="s">
        <v>45</v>
      </c>
      <c r="C85" s="4" t="s">
        <v>118</v>
      </c>
      <c r="D85" s="4" t="s">
        <v>119</v>
      </c>
      <c r="E85" s="5">
        <v>44935</v>
      </c>
      <c r="F85" s="4" t="s">
        <v>140</v>
      </c>
      <c r="G85" s="4"/>
      <c r="H85" s="4"/>
      <c r="I85" s="4" t="s">
        <v>141</v>
      </c>
      <c r="J85" s="4" t="s">
        <v>141</v>
      </c>
      <c r="K85" s="6">
        <v>3570</v>
      </c>
      <c r="L85" s="6"/>
      <c r="M85" s="6">
        <f t="shared" si="2"/>
        <v>-110697.45</v>
      </c>
      <c r="N85" s="4" t="s">
        <v>64</v>
      </c>
      <c r="O85" s="4" t="s">
        <v>65</v>
      </c>
      <c r="P85" s="4" t="s">
        <v>66</v>
      </c>
      <c r="Q85" s="4"/>
      <c r="R85" s="4" t="s">
        <v>0</v>
      </c>
      <c r="S85" s="4"/>
    </row>
    <row r="86" spans="1:19" x14ac:dyDescent="0.2">
      <c r="A86" s="17"/>
      <c r="B86" s="4" t="s">
        <v>45</v>
      </c>
      <c r="C86" s="4" t="s">
        <v>118</v>
      </c>
      <c r="D86" s="4" t="s">
        <v>119</v>
      </c>
      <c r="E86" s="5">
        <v>44936</v>
      </c>
      <c r="F86" s="4" t="s">
        <v>142</v>
      </c>
      <c r="G86" s="4"/>
      <c r="H86" s="4"/>
      <c r="I86" s="4" t="s">
        <v>143</v>
      </c>
      <c r="J86" s="4" t="s">
        <v>143</v>
      </c>
      <c r="K86" s="6"/>
      <c r="L86" s="6">
        <v>5250</v>
      </c>
      <c r="M86" s="6">
        <f t="shared" si="2"/>
        <v>-115947.45</v>
      </c>
      <c r="N86" s="4" t="s">
        <v>64</v>
      </c>
      <c r="O86" s="4" t="s">
        <v>65</v>
      </c>
      <c r="P86" s="4" t="s">
        <v>66</v>
      </c>
      <c r="Q86" s="4"/>
      <c r="R86" s="4" t="s">
        <v>0</v>
      </c>
      <c r="S86" s="4"/>
    </row>
    <row r="87" spans="1:19" x14ac:dyDescent="0.2">
      <c r="A87" s="17"/>
      <c r="B87" s="4" t="s">
        <v>45</v>
      </c>
      <c r="C87" s="4" t="s">
        <v>118</v>
      </c>
      <c r="D87" s="4" t="s">
        <v>119</v>
      </c>
      <c r="E87" s="5">
        <v>44936</v>
      </c>
      <c r="F87" s="4" t="s">
        <v>144</v>
      </c>
      <c r="G87" s="4"/>
      <c r="H87" s="4"/>
      <c r="I87" s="4" t="s">
        <v>145</v>
      </c>
      <c r="J87" s="4" t="s">
        <v>145</v>
      </c>
      <c r="K87" s="6"/>
      <c r="L87" s="6">
        <v>5720</v>
      </c>
      <c r="M87" s="6">
        <f t="shared" si="2"/>
        <v>-121667.45</v>
      </c>
      <c r="N87" s="4" t="s">
        <v>64</v>
      </c>
      <c r="O87" s="4" t="s">
        <v>92</v>
      </c>
      <c r="P87" s="4" t="s">
        <v>66</v>
      </c>
      <c r="Q87" s="4"/>
      <c r="R87" s="4" t="s">
        <v>0</v>
      </c>
      <c r="S87" s="4"/>
    </row>
    <row r="88" spans="1:19" x14ac:dyDescent="0.2">
      <c r="A88" s="17"/>
      <c r="B88" s="4" t="s">
        <v>45</v>
      </c>
      <c r="C88" s="4" t="s">
        <v>118</v>
      </c>
      <c r="D88" s="4" t="s">
        <v>119</v>
      </c>
      <c r="E88" s="5">
        <v>44939</v>
      </c>
      <c r="F88" s="4" t="s">
        <v>146</v>
      </c>
      <c r="G88" s="4"/>
      <c r="H88" s="4"/>
      <c r="I88" s="4" t="s">
        <v>147</v>
      </c>
      <c r="J88" s="4" t="s">
        <v>147</v>
      </c>
      <c r="K88" s="6"/>
      <c r="L88" s="6">
        <v>5068.33</v>
      </c>
      <c r="M88" s="6">
        <f t="shared" si="2"/>
        <v>-126735.78</v>
      </c>
      <c r="N88" s="4" t="s">
        <v>64</v>
      </c>
      <c r="O88" s="4" t="s">
        <v>65</v>
      </c>
      <c r="P88" s="4" t="s">
        <v>66</v>
      </c>
      <c r="Q88" s="4"/>
      <c r="R88" s="4" t="s">
        <v>0</v>
      </c>
      <c r="S88" s="4"/>
    </row>
    <row r="89" spans="1:19" x14ac:dyDescent="0.2">
      <c r="A89" s="17"/>
      <c r="B89" s="4" t="s">
        <v>45</v>
      </c>
      <c r="C89" s="4" t="s">
        <v>118</v>
      </c>
      <c r="D89" s="4" t="s">
        <v>119</v>
      </c>
      <c r="E89" s="5">
        <v>44940</v>
      </c>
      <c r="F89" s="4" t="s">
        <v>148</v>
      </c>
      <c r="G89" s="4"/>
      <c r="H89" s="4"/>
      <c r="I89" s="4" t="s">
        <v>149</v>
      </c>
      <c r="J89" s="4" t="s">
        <v>149</v>
      </c>
      <c r="K89" s="6"/>
      <c r="L89" s="6">
        <v>18750</v>
      </c>
      <c r="M89" s="6">
        <f t="shared" si="2"/>
        <v>-145485.78</v>
      </c>
      <c r="N89" s="4" t="s">
        <v>64</v>
      </c>
      <c r="O89" s="4" t="s">
        <v>92</v>
      </c>
      <c r="P89" s="4" t="s">
        <v>66</v>
      </c>
      <c r="Q89" s="4"/>
      <c r="R89" s="4" t="s">
        <v>0</v>
      </c>
      <c r="S89" s="4"/>
    </row>
    <row r="90" spans="1:19" x14ac:dyDescent="0.2">
      <c r="A90" s="17"/>
      <c r="B90" s="4" t="s">
        <v>45</v>
      </c>
      <c r="C90" s="4" t="s">
        <v>118</v>
      </c>
      <c r="D90" s="4" t="s">
        <v>119</v>
      </c>
      <c r="E90" s="5">
        <v>44942</v>
      </c>
      <c r="F90" s="4" t="s">
        <v>150</v>
      </c>
      <c r="G90" s="4"/>
      <c r="H90" s="4"/>
      <c r="I90" s="4" t="s">
        <v>151</v>
      </c>
      <c r="J90" s="4" t="s">
        <v>152</v>
      </c>
      <c r="K90" s="6">
        <v>41868.75</v>
      </c>
      <c r="L90" s="6"/>
      <c r="M90" s="6">
        <f t="shared" si="2"/>
        <v>-103617.03</v>
      </c>
      <c r="N90" s="4" t="s">
        <v>64</v>
      </c>
      <c r="O90" s="4" t="s">
        <v>65</v>
      </c>
      <c r="P90" s="4" t="s">
        <v>66</v>
      </c>
      <c r="Q90" s="4"/>
      <c r="R90" s="4" t="s">
        <v>0</v>
      </c>
      <c r="S90" s="4"/>
    </row>
    <row r="91" spans="1:19" x14ac:dyDescent="0.2">
      <c r="A91" s="17"/>
      <c r="B91" s="4" t="s">
        <v>45</v>
      </c>
      <c r="C91" s="4" t="s">
        <v>118</v>
      </c>
      <c r="D91" s="4" t="s">
        <v>119</v>
      </c>
      <c r="E91" s="5">
        <v>44942</v>
      </c>
      <c r="F91" s="4" t="s">
        <v>153</v>
      </c>
      <c r="G91" s="4"/>
      <c r="H91" s="4"/>
      <c r="I91" s="4" t="s">
        <v>154</v>
      </c>
      <c r="J91" s="4" t="s">
        <v>155</v>
      </c>
      <c r="K91" s="6"/>
      <c r="L91" s="6">
        <v>4200</v>
      </c>
      <c r="M91" s="6">
        <f t="shared" si="2"/>
        <v>-107817.03</v>
      </c>
      <c r="N91" s="4" t="s">
        <v>64</v>
      </c>
      <c r="O91" s="4" t="s">
        <v>65</v>
      </c>
      <c r="P91" s="4" t="s">
        <v>66</v>
      </c>
      <c r="Q91" s="4"/>
      <c r="R91" s="4" t="s">
        <v>0</v>
      </c>
      <c r="S91" s="4"/>
    </row>
    <row r="92" spans="1:19" x14ac:dyDescent="0.2">
      <c r="A92" s="17"/>
      <c r="B92" s="4" t="s">
        <v>45</v>
      </c>
      <c r="C92" s="4" t="s">
        <v>118</v>
      </c>
      <c r="D92" s="4" t="s">
        <v>119</v>
      </c>
      <c r="E92" s="5">
        <v>44942</v>
      </c>
      <c r="F92" s="4" t="s">
        <v>156</v>
      </c>
      <c r="G92" s="4"/>
      <c r="H92" s="4"/>
      <c r="I92" s="4" t="s">
        <v>157</v>
      </c>
      <c r="J92" s="4" t="s">
        <v>157</v>
      </c>
      <c r="K92" s="6"/>
      <c r="L92" s="6">
        <v>300</v>
      </c>
      <c r="M92" s="6">
        <f t="shared" si="2"/>
        <v>-108117.03</v>
      </c>
      <c r="N92" s="4" t="s">
        <v>64</v>
      </c>
      <c r="O92" s="4" t="s">
        <v>65</v>
      </c>
      <c r="P92" s="4" t="s">
        <v>66</v>
      </c>
      <c r="Q92" s="4"/>
      <c r="R92" s="4" t="s">
        <v>0</v>
      </c>
      <c r="S92" s="4"/>
    </row>
    <row r="93" spans="1:19" x14ac:dyDescent="0.2">
      <c r="A93" s="17"/>
      <c r="B93" s="4" t="s">
        <v>45</v>
      </c>
      <c r="C93" s="4" t="s">
        <v>118</v>
      </c>
      <c r="D93" s="4" t="s">
        <v>119</v>
      </c>
      <c r="E93" s="5">
        <v>44942</v>
      </c>
      <c r="F93" s="4" t="s">
        <v>158</v>
      </c>
      <c r="G93" s="4"/>
      <c r="H93" s="4"/>
      <c r="I93" s="4" t="s">
        <v>159</v>
      </c>
      <c r="J93" s="4" t="s">
        <v>160</v>
      </c>
      <c r="K93" s="6">
        <v>18454</v>
      </c>
      <c r="L93" s="6"/>
      <c r="M93" s="6">
        <f t="shared" si="2"/>
        <v>-89663.03</v>
      </c>
      <c r="N93" s="4" t="s">
        <v>64</v>
      </c>
      <c r="O93" s="4" t="s">
        <v>65</v>
      </c>
      <c r="P93" s="4" t="s">
        <v>66</v>
      </c>
      <c r="Q93" s="4"/>
      <c r="R93" s="4" t="s">
        <v>0</v>
      </c>
      <c r="S93" s="4"/>
    </row>
    <row r="94" spans="1:19" x14ac:dyDescent="0.2">
      <c r="A94" s="17"/>
      <c r="B94" s="4" t="s">
        <v>45</v>
      </c>
      <c r="C94" s="4" t="s">
        <v>118</v>
      </c>
      <c r="D94" s="4" t="s">
        <v>119</v>
      </c>
      <c r="E94" s="5">
        <v>44942</v>
      </c>
      <c r="F94" s="4" t="s">
        <v>161</v>
      </c>
      <c r="G94" s="4"/>
      <c r="H94" s="4"/>
      <c r="I94" s="4" t="s">
        <v>162</v>
      </c>
      <c r="J94" s="4" t="s">
        <v>162</v>
      </c>
      <c r="K94" s="6"/>
      <c r="L94" s="6">
        <v>41869</v>
      </c>
      <c r="M94" s="6">
        <f t="shared" si="2"/>
        <v>-131532.03</v>
      </c>
      <c r="N94" s="4" t="s">
        <v>64</v>
      </c>
      <c r="O94" s="4" t="s">
        <v>92</v>
      </c>
      <c r="P94" s="4" t="s">
        <v>66</v>
      </c>
      <c r="Q94" s="4"/>
      <c r="R94" s="4" t="s">
        <v>0</v>
      </c>
      <c r="S94" s="4"/>
    </row>
    <row r="95" spans="1:19" x14ac:dyDescent="0.2">
      <c r="A95" s="17"/>
      <c r="B95" s="4" t="s">
        <v>45</v>
      </c>
      <c r="C95" s="4" t="s">
        <v>118</v>
      </c>
      <c r="D95" s="4" t="s">
        <v>119</v>
      </c>
      <c r="E95" s="5">
        <v>44942</v>
      </c>
      <c r="F95" s="4" t="s">
        <v>163</v>
      </c>
      <c r="G95" s="4"/>
      <c r="H95" s="4"/>
      <c r="I95" s="4" t="s">
        <v>164</v>
      </c>
      <c r="J95" s="4" t="s">
        <v>164</v>
      </c>
      <c r="K95" s="6"/>
      <c r="L95" s="6">
        <v>15</v>
      </c>
      <c r="M95" s="6">
        <f t="shared" si="2"/>
        <v>-131547.03</v>
      </c>
      <c r="N95" s="4" t="s">
        <v>64</v>
      </c>
      <c r="O95" s="4" t="s">
        <v>65</v>
      </c>
      <c r="P95" s="4" t="s">
        <v>66</v>
      </c>
      <c r="Q95" s="4"/>
      <c r="R95" s="4" t="s">
        <v>0</v>
      </c>
      <c r="S95" s="4"/>
    </row>
    <row r="96" spans="1:19" x14ac:dyDescent="0.2">
      <c r="A96" s="17"/>
      <c r="B96" s="4" t="s">
        <v>45</v>
      </c>
      <c r="C96" s="4" t="s">
        <v>118</v>
      </c>
      <c r="D96" s="4" t="s">
        <v>119</v>
      </c>
      <c r="E96" s="5">
        <v>44942</v>
      </c>
      <c r="F96" s="4" t="s">
        <v>165</v>
      </c>
      <c r="G96" s="4"/>
      <c r="H96" s="4"/>
      <c r="I96" s="4" t="s">
        <v>166</v>
      </c>
      <c r="J96" s="4" t="s">
        <v>166</v>
      </c>
      <c r="K96" s="6"/>
      <c r="L96" s="6">
        <v>63</v>
      </c>
      <c r="M96" s="6">
        <f t="shared" si="2"/>
        <v>-131610.03</v>
      </c>
      <c r="N96" s="4" t="s">
        <v>64</v>
      </c>
      <c r="O96" s="4" t="s">
        <v>65</v>
      </c>
      <c r="P96" s="4" t="s">
        <v>66</v>
      </c>
      <c r="Q96" s="4"/>
      <c r="R96" s="4" t="s">
        <v>0</v>
      </c>
      <c r="S96" s="4"/>
    </row>
    <row r="97" spans="1:19" x14ac:dyDescent="0.2">
      <c r="A97" s="17"/>
      <c r="B97" s="4" t="s">
        <v>45</v>
      </c>
      <c r="C97" s="4" t="s">
        <v>118</v>
      </c>
      <c r="D97" s="4" t="s">
        <v>119</v>
      </c>
      <c r="E97" s="5">
        <v>44944</v>
      </c>
      <c r="F97" s="4" t="s">
        <v>167</v>
      </c>
      <c r="G97" s="4"/>
      <c r="H97" s="4"/>
      <c r="I97" s="4" t="s">
        <v>168</v>
      </c>
      <c r="J97" s="4" t="s">
        <v>168</v>
      </c>
      <c r="K97" s="6"/>
      <c r="L97" s="6">
        <v>978</v>
      </c>
      <c r="M97" s="6">
        <f t="shared" si="2"/>
        <v>-132588.03</v>
      </c>
      <c r="N97" s="4" t="s">
        <v>64</v>
      </c>
      <c r="O97" s="4" t="s">
        <v>92</v>
      </c>
      <c r="P97" s="4" t="s">
        <v>66</v>
      </c>
      <c r="Q97" s="4"/>
      <c r="R97" s="4" t="s">
        <v>0</v>
      </c>
      <c r="S97" s="4"/>
    </row>
    <row r="98" spans="1:19" x14ac:dyDescent="0.2">
      <c r="A98" s="17"/>
      <c r="B98" s="4" t="s">
        <v>45</v>
      </c>
      <c r="C98" s="4" t="s">
        <v>118</v>
      </c>
      <c r="D98" s="4" t="s">
        <v>119</v>
      </c>
      <c r="E98" s="5">
        <v>44944</v>
      </c>
      <c r="F98" s="4" t="s">
        <v>169</v>
      </c>
      <c r="G98" s="4"/>
      <c r="H98" s="4"/>
      <c r="I98" s="4" t="s">
        <v>170</v>
      </c>
      <c r="J98" s="4" t="s">
        <v>170</v>
      </c>
      <c r="K98" s="6"/>
      <c r="L98" s="6">
        <v>5913</v>
      </c>
      <c r="M98" s="6">
        <f t="shared" si="2"/>
        <v>-138501.03</v>
      </c>
      <c r="N98" s="4" t="s">
        <v>64</v>
      </c>
      <c r="O98" s="4" t="s">
        <v>92</v>
      </c>
      <c r="P98" s="4" t="s">
        <v>66</v>
      </c>
      <c r="Q98" s="4"/>
      <c r="R98" s="4" t="s">
        <v>0</v>
      </c>
      <c r="S98" s="4"/>
    </row>
    <row r="99" spans="1:19" x14ac:dyDescent="0.2">
      <c r="A99" s="17"/>
      <c r="B99" s="4" t="s">
        <v>45</v>
      </c>
      <c r="C99" s="4" t="s">
        <v>118</v>
      </c>
      <c r="D99" s="4" t="s">
        <v>119</v>
      </c>
      <c r="E99" s="5">
        <v>44944</v>
      </c>
      <c r="F99" s="4" t="s">
        <v>171</v>
      </c>
      <c r="G99" s="4"/>
      <c r="H99" s="4"/>
      <c r="I99" s="4" t="s">
        <v>172</v>
      </c>
      <c r="J99" s="4" t="s">
        <v>172</v>
      </c>
      <c r="K99" s="6">
        <v>86105</v>
      </c>
      <c r="L99" s="6"/>
      <c r="M99" s="6">
        <f t="shared" si="2"/>
        <v>-52396.03</v>
      </c>
      <c r="N99" s="4" t="s">
        <v>64</v>
      </c>
      <c r="O99" s="4" t="s">
        <v>92</v>
      </c>
      <c r="P99" s="4" t="s">
        <v>66</v>
      </c>
      <c r="Q99" s="4"/>
      <c r="R99" s="4" t="s">
        <v>0</v>
      </c>
      <c r="S99" s="4"/>
    </row>
    <row r="100" spans="1:19" x14ac:dyDescent="0.2">
      <c r="A100" s="17"/>
      <c r="B100" s="4" t="s">
        <v>45</v>
      </c>
      <c r="C100" s="4" t="s">
        <v>118</v>
      </c>
      <c r="D100" s="4" t="s">
        <v>119</v>
      </c>
      <c r="E100" s="5">
        <v>44945</v>
      </c>
      <c r="F100" s="4" t="s">
        <v>173</v>
      </c>
      <c r="G100" s="4"/>
      <c r="H100" s="4"/>
      <c r="I100" s="4" t="s">
        <v>174</v>
      </c>
      <c r="J100" s="4" t="s">
        <v>174</v>
      </c>
      <c r="K100" s="6">
        <v>41868.75</v>
      </c>
      <c r="L100" s="6"/>
      <c r="M100" s="6">
        <f t="shared" si="2"/>
        <v>-10527.279999999999</v>
      </c>
      <c r="N100" s="4" t="s">
        <v>64</v>
      </c>
      <c r="O100" s="4" t="s">
        <v>92</v>
      </c>
      <c r="P100" s="4" t="s">
        <v>66</v>
      </c>
      <c r="Q100" s="4"/>
      <c r="R100" s="4" t="s">
        <v>0</v>
      </c>
      <c r="S100" s="4"/>
    </row>
    <row r="101" spans="1:19" x14ac:dyDescent="0.2">
      <c r="A101" s="17"/>
      <c r="B101" s="4" t="s">
        <v>45</v>
      </c>
      <c r="C101" s="4" t="s">
        <v>118</v>
      </c>
      <c r="D101" s="4" t="s">
        <v>119</v>
      </c>
      <c r="E101" s="5">
        <v>44945</v>
      </c>
      <c r="F101" s="4" t="s">
        <v>175</v>
      </c>
      <c r="G101" s="4"/>
      <c r="H101" s="4"/>
      <c r="I101" s="4" t="s">
        <v>174</v>
      </c>
      <c r="J101" s="4" t="s">
        <v>174</v>
      </c>
      <c r="K101" s="6"/>
      <c r="L101" s="6">
        <v>41868.75</v>
      </c>
      <c r="M101" s="6">
        <f t="shared" si="2"/>
        <v>-52396.03</v>
      </c>
      <c r="N101" s="4" t="s">
        <v>64</v>
      </c>
      <c r="O101" s="4" t="s">
        <v>92</v>
      </c>
      <c r="P101" s="4" t="s">
        <v>66</v>
      </c>
      <c r="Q101" s="4"/>
      <c r="R101" s="4" t="s">
        <v>0</v>
      </c>
      <c r="S101" s="4"/>
    </row>
    <row r="102" spans="1:19" x14ac:dyDescent="0.2">
      <c r="A102" s="17"/>
      <c r="B102" s="4" t="s">
        <v>45</v>
      </c>
      <c r="C102" s="4" t="s">
        <v>118</v>
      </c>
      <c r="D102" s="4" t="s">
        <v>119</v>
      </c>
      <c r="E102" s="5">
        <v>44945</v>
      </c>
      <c r="F102" s="4" t="s">
        <v>176</v>
      </c>
      <c r="G102" s="4"/>
      <c r="H102" s="4"/>
      <c r="I102" s="4" t="s">
        <v>177</v>
      </c>
      <c r="J102" s="4" t="s">
        <v>177</v>
      </c>
      <c r="K102" s="6">
        <v>98175</v>
      </c>
      <c r="L102" s="6"/>
      <c r="M102" s="6">
        <f t="shared" si="2"/>
        <v>45778.97</v>
      </c>
      <c r="N102" s="4" t="s">
        <v>64</v>
      </c>
      <c r="O102" s="4" t="s">
        <v>65</v>
      </c>
      <c r="P102" s="4" t="s">
        <v>66</v>
      </c>
      <c r="Q102" s="4"/>
      <c r="R102" s="4" t="s">
        <v>0</v>
      </c>
      <c r="S102" s="4"/>
    </row>
    <row r="103" spans="1:19" x14ac:dyDescent="0.2">
      <c r="A103" s="17"/>
      <c r="B103" s="4" t="s">
        <v>45</v>
      </c>
      <c r="C103" s="4" t="s">
        <v>118</v>
      </c>
      <c r="D103" s="4" t="s">
        <v>119</v>
      </c>
      <c r="E103" s="5">
        <v>44946</v>
      </c>
      <c r="F103" s="4" t="s">
        <v>178</v>
      </c>
      <c r="G103" s="4"/>
      <c r="H103" s="4"/>
      <c r="I103" s="4" t="s">
        <v>179</v>
      </c>
      <c r="J103" s="4" t="s">
        <v>179</v>
      </c>
      <c r="K103" s="6">
        <v>18931.5</v>
      </c>
      <c r="L103" s="6"/>
      <c r="M103" s="6">
        <f t="shared" si="2"/>
        <v>64710.47</v>
      </c>
      <c r="N103" s="4" t="s">
        <v>64</v>
      </c>
      <c r="O103" s="4" t="s">
        <v>92</v>
      </c>
      <c r="P103" s="4" t="s">
        <v>66</v>
      </c>
      <c r="Q103" s="4"/>
      <c r="R103" s="4" t="s">
        <v>0</v>
      </c>
      <c r="S103" s="4"/>
    </row>
    <row r="104" spans="1:19" x14ac:dyDescent="0.2">
      <c r="A104" s="17"/>
      <c r="B104" s="4" t="s">
        <v>45</v>
      </c>
      <c r="C104" s="4" t="s">
        <v>118</v>
      </c>
      <c r="D104" s="4" t="s">
        <v>119</v>
      </c>
      <c r="E104" s="5">
        <v>44946</v>
      </c>
      <c r="F104" s="4" t="s">
        <v>180</v>
      </c>
      <c r="G104" s="4"/>
      <c r="H104" s="4"/>
      <c r="I104" s="4" t="s">
        <v>179</v>
      </c>
      <c r="J104" s="4" t="s">
        <v>179</v>
      </c>
      <c r="K104" s="6"/>
      <c r="L104" s="6">
        <v>18931.5</v>
      </c>
      <c r="M104" s="6">
        <f t="shared" si="2"/>
        <v>45778.97</v>
      </c>
      <c r="N104" s="4" t="s">
        <v>64</v>
      </c>
      <c r="O104" s="4" t="s">
        <v>92</v>
      </c>
      <c r="P104" s="4" t="s">
        <v>66</v>
      </c>
      <c r="Q104" s="4"/>
      <c r="R104" s="4" t="s">
        <v>0</v>
      </c>
      <c r="S104" s="4"/>
    </row>
    <row r="105" spans="1:19" x14ac:dyDescent="0.2">
      <c r="A105" s="17"/>
      <c r="B105" s="4" t="s">
        <v>45</v>
      </c>
      <c r="C105" s="4" t="s">
        <v>118</v>
      </c>
      <c r="D105" s="4" t="s">
        <v>119</v>
      </c>
      <c r="E105" s="5">
        <v>44950</v>
      </c>
      <c r="F105" s="4" t="s">
        <v>181</v>
      </c>
      <c r="G105" s="4"/>
      <c r="H105" s="4"/>
      <c r="I105" s="4" t="s">
        <v>182</v>
      </c>
      <c r="J105" s="4" t="s">
        <v>182</v>
      </c>
      <c r="K105" s="6"/>
      <c r="L105" s="6">
        <v>3255</v>
      </c>
      <c r="M105" s="6">
        <f t="shared" si="2"/>
        <v>42523.97</v>
      </c>
      <c r="N105" s="4" t="s">
        <v>64</v>
      </c>
      <c r="O105" s="4" t="s">
        <v>92</v>
      </c>
      <c r="P105" s="4" t="s">
        <v>66</v>
      </c>
      <c r="Q105" s="4"/>
      <c r="R105" s="4" t="s">
        <v>0</v>
      </c>
      <c r="S105" s="4"/>
    </row>
    <row r="106" spans="1:19" x14ac:dyDescent="0.2">
      <c r="A106" s="17"/>
      <c r="B106" s="4" t="s">
        <v>45</v>
      </c>
      <c r="C106" s="4" t="s">
        <v>118</v>
      </c>
      <c r="D106" s="4" t="s">
        <v>119</v>
      </c>
      <c r="E106" s="5">
        <v>44950</v>
      </c>
      <c r="F106" s="4" t="s">
        <v>183</v>
      </c>
      <c r="G106" s="4"/>
      <c r="H106" s="4"/>
      <c r="I106" s="4" t="s">
        <v>184</v>
      </c>
      <c r="J106" s="4" t="s">
        <v>184</v>
      </c>
      <c r="K106" s="6"/>
      <c r="L106" s="6">
        <v>1728.72</v>
      </c>
      <c r="M106" s="6">
        <f t="shared" si="2"/>
        <v>40795.25</v>
      </c>
      <c r="N106" s="4" t="s">
        <v>64</v>
      </c>
      <c r="O106" s="4" t="s">
        <v>92</v>
      </c>
      <c r="P106" s="4" t="s">
        <v>66</v>
      </c>
      <c r="Q106" s="4"/>
      <c r="R106" s="4" t="s">
        <v>0</v>
      </c>
      <c r="S106" s="4"/>
    </row>
    <row r="107" spans="1:19" x14ac:dyDescent="0.2">
      <c r="A107" s="17"/>
      <c r="B107" s="4" t="s">
        <v>45</v>
      </c>
      <c r="C107" s="4" t="s">
        <v>118</v>
      </c>
      <c r="D107" s="4" t="s">
        <v>119</v>
      </c>
      <c r="E107" s="5">
        <v>44950</v>
      </c>
      <c r="F107" s="4" t="s">
        <v>185</v>
      </c>
      <c r="G107" s="4"/>
      <c r="H107" s="4"/>
      <c r="I107" s="4" t="s">
        <v>186</v>
      </c>
      <c r="J107" s="4" t="s">
        <v>187</v>
      </c>
      <c r="K107" s="6">
        <v>100181</v>
      </c>
      <c r="L107" s="6"/>
      <c r="M107" s="6">
        <f t="shared" si="2"/>
        <v>140976.25</v>
      </c>
      <c r="N107" s="4" t="s">
        <v>64</v>
      </c>
      <c r="O107" s="4" t="s">
        <v>65</v>
      </c>
      <c r="P107" s="4" t="s">
        <v>66</v>
      </c>
      <c r="Q107" s="4"/>
      <c r="R107" s="4" t="s">
        <v>0</v>
      </c>
      <c r="S107" s="4"/>
    </row>
    <row r="108" spans="1:19" x14ac:dyDescent="0.2">
      <c r="A108" s="17"/>
      <c r="B108" s="4" t="s">
        <v>45</v>
      </c>
      <c r="C108" s="4" t="s">
        <v>118</v>
      </c>
      <c r="D108" s="4" t="s">
        <v>119</v>
      </c>
      <c r="E108" s="5">
        <v>44951</v>
      </c>
      <c r="F108" s="4" t="s">
        <v>188</v>
      </c>
      <c r="G108" s="4"/>
      <c r="H108" s="4"/>
      <c r="I108" s="4" t="s">
        <v>189</v>
      </c>
      <c r="J108" s="4" t="s">
        <v>189</v>
      </c>
      <c r="K108" s="6"/>
      <c r="L108" s="6">
        <v>23633.75</v>
      </c>
      <c r="M108" s="6">
        <f t="shared" si="2"/>
        <v>117342.5</v>
      </c>
      <c r="N108" s="4" t="s">
        <v>64</v>
      </c>
      <c r="O108" s="4" t="s">
        <v>65</v>
      </c>
      <c r="P108" s="4" t="s">
        <v>66</v>
      </c>
      <c r="Q108" s="4"/>
      <c r="R108" s="4" t="s">
        <v>0</v>
      </c>
      <c r="S108" s="4"/>
    </row>
    <row r="109" spans="1:19" x14ac:dyDescent="0.2">
      <c r="A109" s="17"/>
      <c r="B109" s="4" t="s">
        <v>45</v>
      </c>
      <c r="C109" s="4" t="s">
        <v>118</v>
      </c>
      <c r="D109" s="4" t="s">
        <v>119</v>
      </c>
      <c r="E109" s="5">
        <v>44951</v>
      </c>
      <c r="F109" s="4" t="s">
        <v>190</v>
      </c>
      <c r="G109" s="4"/>
      <c r="H109" s="4"/>
      <c r="I109" s="4" t="s">
        <v>191</v>
      </c>
      <c r="J109" s="4"/>
      <c r="K109" s="6"/>
      <c r="L109" s="6">
        <v>19772</v>
      </c>
      <c r="M109" s="6">
        <f t="shared" si="2"/>
        <v>97570.5</v>
      </c>
      <c r="N109" s="4" t="s">
        <v>64</v>
      </c>
      <c r="O109" s="4" t="s">
        <v>92</v>
      </c>
      <c r="P109" s="4" t="s">
        <v>66</v>
      </c>
      <c r="Q109" s="4"/>
      <c r="R109" s="4" t="s">
        <v>0</v>
      </c>
      <c r="S109" s="4"/>
    </row>
    <row r="110" spans="1:19" x14ac:dyDescent="0.2">
      <c r="A110" s="17"/>
      <c r="B110" s="4" t="s">
        <v>45</v>
      </c>
      <c r="C110" s="4" t="s">
        <v>118</v>
      </c>
      <c r="D110" s="4" t="s">
        <v>119</v>
      </c>
      <c r="E110" s="5">
        <v>44951</v>
      </c>
      <c r="F110" s="4" t="s">
        <v>192</v>
      </c>
      <c r="G110" s="4"/>
      <c r="H110" s="4"/>
      <c r="I110" s="4" t="s">
        <v>193</v>
      </c>
      <c r="J110" s="4" t="s">
        <v>193</v>
      </c>
      <c r="K110" s="6"/>
      <c r="L110" s="6">
        <v>23635</v>
      </c>
      <c r="M110" s="6">
        <f t="shared" si="2"/>
        <v>73935.5</v>
      </c>
      <c r="N110" s="4" t="s">
        <v>64</v>
      </c>
      <c r="O110" s="4" t="s">
        <v>92</v>
      </c>
      <c r="P110" s="4" t="s">
        <v>66</v>
      </c>
      <c r="Q110" s="4"/>
      <c r="R110" s="4" t="s">
        <v>0</v>
      </c>
      <c r="S110" s="4"/>
    </row>
    <row r="111" spans="1:19" x14ac:dyDescent="0.2">
      <c r="A111" s="17"/>
      <c r="B111" s="4" t="s">
        <v>45</v>
      </c>
      <c r="C111" s="4" t="s">
        <v>118</v>
      </c>
      <c r="D111" s="4" t="s">
        <v>119</v>
      </c>
      <c r="E111" s="5">
        <v>44952</v>
      </c>
      <c r="F111" s="4" t="s">
        <v>194</v>
      </c>
      <c r="G111" s="4"/>
      <c r="H111" s="4"/>
      <c r="I111" s="4" t="s">
        <v>195</v>
      </c>
      <c r="J111" s="4" t="s">
        <v>195</v>
      </c>
      <c r="K111" s="6"/>
      <c r="L111" s="6">
        <v>28850</v>
      </c>
      <c r="M111" s="6">
        <f t="shared" si="2"/>
        <v>45085.5</v>
      </c>
      <c r="N111" s="4" t="s">
        <v>64</v>
      </c>
      <c r="O111" s="4" t="s">
        <v>92</v>
      </c>
      <c r="P111" s="4" t="s">
        <v>66</v>
      </c>
      <c r="Q111" s="4"/>
      <c r="R111" s="4" t="s">
        <v>0</v>
      </c>
      <c r="S111" s="4"/>
    </row>
    <row r="112" spans="1:19" x14ac:dyDescent="0.2">
      <c r="A112" s="17"/>
      <c r="B112" s="4" t="s">
        <v>45</v>
      </c>
      <c r="C112" s="4" t="s">
        <v>118</v>
      </c>
      <c r="D112" s="4" t="s">
        <v>119</v>
      </c>
      <c r="E112" s="5">
        <v>44952</v>
      </c>
      <c r="F112" s="4" t="s">
        <v>196</v>
      </c>
      <c r="G112" s="4"/>
      <c r="H112" s="4"/>
      <c r="I112" s="4" t="s">
        <v>197</v>
      </c>
      <c r="J112" s="4" t="s">
        <v>197</v>
      </c>
      <c r="K112" s="6"/>
      <c r="L112" s="6">
        <v>58393</v>
      </c>
      <c r="M112" s="6">
        <f t="shared" si="2"/>
        <v>-13307.5</v>
      </c>
      <c r="N112" s="4" t="s">
        <v>64</v>
      </c>
      <c r="O112" s="4" t="s">
        <v>92</v>
      </c>
      <c r="P112" s="4" t="s">
        <v>66</v>
      </c>
      <c r="Q112" s="4"/>
      <c r="R112" s="4" t="s">
        <v>0</v>
      </c>
      <c r="S112" s="4"/>
    </row>
    <row r="113" spans="1:19" x14ac:dyDescent="0.2">
      <c r="A113" s="17"/>
      <c r="B113" s="4" t="s">
        <v>45</v>
      </c>
      <c r="C113" s="4" t="s">
        <v>118</v>
      </c>
      <c r="D113" s="4" t="s">
        <v>119</v>
      </c>
      <c r="E113" s="5">
        <v>44952</v>
      </c>
      <c r="F113" s="4" t="s">
        <v>198</v>
      </c>
      <c r="G113" s="4"/>
      <c r="H113" s="4"/>
      <c r="I113" s="4" t="s">
        <v>199</v>
      </c>
      <c r="J113" s="4" t="s">
        <v>199</v>
      </c>
      <c r="K113" s="6"/>
      <c r="L113" s="6">
        <v>11550</v>
      </c>
      <c r="M113" s="6">
        <f t="shared" si="2"/>
        <v>-24857.5</v>
      </c>
      <c r="N113" s="4" t="s">
        <v>64</v>
      </c>
      <c r="O113" s="4" t="s">
        <v>92</v>
      </c>
      <c r="P113" s="4" t="s">
        <v>66</v>
      </c>
      <c r="Q113" s="4"/>
      <c r="R113" s="4" t="s">
        <v>0</v>
      </c>
      <c r="S113" s="4"/>
    </row>
    <row r="114" spans="1:19" x14ac:dyDescent="0.2">
      <c r="A114" s="17"/>
      <c r="B114" s="4" t="s">
        <v>45</v>
      </c>
      <c r="C114" s="4" t="s">
        <v>118</v>
      </c>
      <c r="D114" s="4" t="s">
        <v>119</v>
      </c>
      <c r="E114" s="5">
        <v>44953</v>
      </c>
      <c r="F114" s="4" t="s">
        <v>200</v>
      </c>
      <c r="G114" s="4"/>
      <c r="H114" s="4"/>
      <c r="I114" s="4" t="s">
        <v>201</v>
      </c>
      <c r="J114" s="4" t="s">
        <v>201</v>
      </c>
      <c r="K114" s="6"/>
      <c r="L114" s="6">
        <v>81583</v>
      </c>
      <c r="M114" s="6">
        <f t="shared" si="2"/>
        <v>-106440.5</v>
      </c>
      <c r="N114" s="4" t="s">
        <v>64</v>
      </c>
      <c r="O114" s="4" t="s">
        <v>92</v>
      </c>
      <c r="P114" s="4" t="s">
        <v>66</v>
      </c>
      <c r="Q114" s="4"/>
      <c r="R114" s="4" t="s">
        <v>0</v>
      </c>
      <c r="S114" s="4"/>
    </row>
    <row r="115" spans="1:19" x14ac:dyDescent="0.2">
      <c r="A115" s="17"/>
      <c r="B115" s="4" t="s">
        <v>45</v>
      </c>
      <c r="C115" s="4" t="s">
        <v>118</v>
      </c>
      <c r="D115" s="4" t="s">
        <v>119</v>
      </c>
      <c r="E115" s="5">
        <v>44953</v>
      </c>
      <c r="F115" s="4" t="s">
        <v>202</v>
      </c>
      <c r="G115" s="4"/>
      <c r="H115" s="4"/>
      <c r="I115" s="4" t="s">
        <v>203</v>
      </c>
      <c r="J115" s="4" t="s">
        <v>204</v>
      </c>
      <c r="K115" s="6">
        <v>81583</v>
      </c>
      <c r="L115" s="6"/>
      <c r="M115" s="6">
        <f t="shared" si="2"/>
        <v>-24857.5</v>
      </c>
      <c r="N115" s="4" t="s">
        <v>64</v>
      </c>
      <c r="O115" s="4" t="s">
        <v>92</v>
      </c>
      <c r="P115" s="4" t="s">
        <v>66</v>
      </c>
      <c r="Q115" s="4"/>
      <c r="R115" s="4" t="s">
        <v>0</v>
      </c>
      <c r="S115" s="4"/>
    </row>
    <row r="116" spans="1:19" x14ac:dyDescent="0.2">
      <c r="A116" s="17"/>
      <c r="B116" s="4" t="s">
        <v>45</v>
      </c>
      <c r="C116" s="4" t="s">
        <v>118</v>
      </c>
      <c r="D116" s="4" t="s">
        <v>119</v>
      </c>
      <c r="E116" s="5">
        <v>44953</v>
      </c>
      <c r="F116" s="4" t="s">
        <v>205</v>
      </c>
      <c r="G116" s="4"/>
      <c r="H116" s="4"/>
      <c r="I116" s="4" t="s">
        <v>206</v>
      </c>
      <c r="J116" s="4" t="s">
        <v>206</v>
      </c>
      <c r="K116" s="6"/>
      <c r="L116" s="6">
        <v>5586</v>
      </c>
      <c r="M116" s="6">
        <f t="shared" si="2"/>
        <v>-30443.5</v>
      </c>
      <c r="N116" s="4" t="s">
        <v>64</v>
      </c>
      <c r="O116" s="4" t="s">
        <v>92</v>
      </c>
      <c r="P116" s="4" t="s">
        <v>66</v>
      </c>
      <c r="Q116" s="4"/>
      <c r="R116" s="4" t="s">
        <v>0</v>
      </c>
      <c r="S116" s="4"/>
    </row>
    <row r="117" spans="1:19" x14ac:dyDescent="0.2">
      <c r="A117" s="17"/>
      <c r="B117" s="4" t="s">
        <v>45</v>
      </c>
      <c r="C117" s="4" t="s">
        <v>118</v>
      </c>
      <c r="D117" s="4" t="s">
        <v>119</v>
      </c>
      <c r="E117" s="5">
        <v>44953</v>
      </c>
      <c r="F117" s="4" t="s">
        <v>207</v>
      </c>
      <c r="G117" s="4"/>
      <c r="H117" s="4"/>
      <c r="I117" s="4" t="s">
        <v>208</v>
      </c>
      <c r="J117" s="4" t="s">
        <v>208</v>
      </c>
      <c r="K117" s="6">
        <v>81583</v>
      </c>
      <c r="L117" s="6"/>
      <c r="M117" s="6">
        <f t="shared" si="2"/>
        <v>51139.5</v>
      </c>
      <c r="N117" s="4" t="s">
        <v>64</v>
      </c>
      <c r="O117" s="4" t="s">
        <v>92</v>
      </c>
      <c r="P117" s="4" t="s">
        <v>66</v>
      </c>
      <c r="Q117" s="4"/>
      <c r="R117" s="4" t="s">
        <v>0</v>
      </c>
      <c r="S117" s="4"/>
    </row>
    <row r="118" spans="1:19" x14ac:dyDescent="0.2">
      <c r="A118" s="17"/>
      <c r="B118" s="4" t="s">
        <v>45</v>
      </c>
      <c r="C118" s="4" t="s">
        <v>118</v>
      </c>
      <c r="D118" s="4" t="s">
        <v>119</v>
      </c>
      <c r="E118" s="5">
        <v>44954</v>
      </c>
      <c r="F118" s="4" t="s">
        <v>209</v>
      </c>
      <c r="G118" s="4"/>
      <c r="H118" s="4"/>
      <c r="I118" s="4" t="s">
        <v>210</v>
      </c>
      <c r="J118" s="4" t="s">
        <v>210</v>
      </c>
      <c r="K118" s="6"/>
      <c r="L118" s="6">
        <v>16813.75</v>
      </c>
      <c r="M118" s="6">
        <f t="shared" si="2"/>
        <v>34325.75</v>
      </c>
      <c r="N118" s="4" t="s">
        <v>64</v>
      </c>
      <c r="O118" s="4" t="s">
        <v>65</v>
      </c>
      <c r="P118" s="4" t="s">
        <v>66</v>
      </c>
      <c r="Q118" s="4"/>
      <c r="R118" s="4" t="s">
        <v>0</v>
      </c>
      <c r="S118" s="4"/>
    </row>
    <row r="119" spans="1:19" x14ac:dyDescent="0.2">
      <c r="A119" s="17"/>
      <c r="B119" s="4" t="s">
        <v>45</v>
      </c>
      <c r="C119" s="4" t="s">
        <v>118</v>
      </c>
      <c r="D119" s="4" t="s">
        <v>119</v>
      </c>
      <c r="E119" s="5">
        <v>44956</v>
      </c>
      <c r="F119" s="4" t="s">
        <v>211</v>
      </c>
      <c r="G119" s="4"/>
      <c r="H119" s="4"/>
      <c r="I119" s="4" t="s">
        <v>212</v>
      </c>
      <c r="J119" s="4" t="s">
        <v>212</v>
      </c>
      <c r="K119" s="6"/>
      <c r="L119" s="6">
        <v>5000</v>
      </c>
      <c r="M119" s="6">
        <f t="shared" si="2"/>
        <v>29325.75</v>
      </c>
      <c r="N119" s="4" t="s">
        <v>64</v>
      </c>
      <c r="O119" s="4" t="s">
        <v>92</v>
      </c>
      <c r="P119" s="4" t="s">
        <v>66</v>
      </c>
      <c r="Q119" s="4"/>
      <c r="R119" s="4" t="s">
        <v>0</v>
      </c>
      <c r="S119" s="4"/>
    </row>
    <row r="120" spans="1:19" x14ac:dyDescent="0.2">
      <c r="A120" s="17"/>
      <c r="B120" s="4" t="s">
        <v>45</v>
      </c>
      <c r="C120" s="4" t="s">
        <v>118</v>
      </c>
      <c r="D120" s="4" t="s">
        <v>119</v>
      </c>
      <c r="E120" s="5">
        <v>44957</v>
      </c>
      <c r="F120" s="4" t="s">
        <v>213</v>
      </c>
      <c r="G120" s="4"/>
      <c r="H120" s="4"/>
      <c r="I120" s="4" t="s">
        <v>214</v>
      </c>
      <c r="J120" s="4" t="s">
        <v>214</v>
      </c>
      <c r="K120" s="6"/>
      <c r="L120" s="6">
        <v>5000</v>
      </c>
      <c r="M120" s="6">
        <f t="shared" si="2"/>
        <v>24325.75</v>
      </c>
      <c r="N120" s="4" t="s">
        <v>64</v>
      </c>
      <c r="O120" s="4" t="s">
        <v>92</v>
      </c>
      <c r="P120" s="4" t="s">
        <v>66</v>
      </c>
      <c r="Q120" s="4"/>
      <c r="R120" s="4" t="s">
        <v>0</v>
      </c>
      <c r="S120" s="4"/>
    </row>
    <row r="121" spans="1:19" x14ac:dyDescent="0.2">
      <c r="A121" s="17"/>
      <c r="B121" s="4" t="s">
        <v>45</v>
      </c>
      <c r="C121" s="4" t="s">
        <v>118</v>
      </c>
      <c r="D121" s="4" t="s">
        <v>119</v>
      </c>
      <c r="E121" s="5">
        <v>44957</v>
      </c>
      <c r="F121" s="4" t="s">
        <v>215</v>
      </c>
      <c r="G121" s="4"/>
      <c r="H121" s="4"/>
      <c r="I121" s="4" t="s">
        <v>216</v>
      </c>
      <c r="J121" s="4" t="s">
        <v>217</v>
      </c>
      <c r="K121" s="6">
        <v>10000</v>
      </c>
      <c r="L121" s="6"/>
      <c r="M121" s="6">
        <f t="shared" si="2"/>
        <v>34325.75</v>
      </c>
      <c r="N121" s="4" t="s">
        <v>64</v>
      </c>
      <c r="O121" s="4" t="s">
        <v>92</v>
      </c>
      <c r="P121" s="4" t="s">
        <v>66</v>
      </c>
      <c r="Q121" s="4"/>
      <c r="R121" s="4" t="s">
        <v>0</v>
      </c>
      <c r="S121" s="4"/>
    </row>
    <row r="122" spans="1:19" x14ac:dyDescent="0.2">
      <c r="A122" s="17"/>
      <c r="B122" s="4" t="s">
        <v>45</v>
      </c>
      <c r="C122" s="4" t="s">
        <v>118</v>
      </c>
      <c r="D122" s="4" t="s">
        <v>119</v>
      </c>
      <c r="E122" s="5">
        <v>44957</v>
      </c>
      <c r="F122" s="4" t="s">
        <v>218</v>
      </c>
      <c r="G122" s="4"/>
      <c r="H122" s="4"/>
      <c r="I122" s="4" t="s">
        <v>143</v>
      </c>
      <c r="J122" s="4" t="s">
        <v>143</v>
      </c>
      <c r="K122" s="6">
        <v>5250</v>
      </c>
      <c r="L122" s="6"/>
      <c r="M122" s="6">
        <f t="shared" si="2"/>
        <v>39575.75</v>
      </c>
      <c r="N122" s="4" t="s">
        <v>64</v>
      </c>
      <c r="O122" s="4" t="s">
        <v>65</v>
      </c>
      <c r="P122" s="4" t="s">
        <v>66</v>
      </c>
      <c r="Q122" s="4"/>
      <c r="R122" s="4" t="s">
        <v>0</v>
      </c>
      <c r="S122" s="4"/>
    </row>
    <row r="123" spans="1:19" x14ac:dyDescent="0.2">
      <c r="A123" s="17"/>
      <c r="B123" s="4" t="s">
        <v>45</v>
      </c>
      <c r="C123" s="4" t="s">
        <v>118</v>
      </c>
      <c r="D123" s="4" t="s">
        <v>119</v>
      </c>
      <c r="E123" s="5">
        <v>44957</v>
      </c>
      <c r="F123" s="4" t="s">
        <v>219</v>
      </c>
      <c r="G123" s="4"/>
      <c r="H123" s="4"/>
      <c r="I123" s="4" t="s">
        <v>220</v>
      </c>
      <c r="J123" s="4" t="s">
        <v>220</v>
      </c>
      <c r="K123" s="6"/>
      <c r="L123" s="6">
        <v>5500</v>
      </c>
      <c r="M123" s="6">
        <f t="shared" si="2"/>
        <v>34075.75</v>
      </c>
      <c r="N123" s="4" t="s">
        <v>64</v>
      </c>
      <c r="O123" s="4" t="s">
        <v>92</v>
      </c>
      <c r="P123" s="4" t="s">
        <v>66</v>
      </c>
      <c r="Q123" s="4"/>
      <c r="R123" s="4" t="s">
        <v>0</v>
      </c>
      <c r="S123" s="4"/>
    </row>
    <row r="124" spans="1:19" x14ac:dyDescent="0.2">
      <c r="A124" s="17"/>
      <c r="B124" s="4" t="s">
        <v>45</v>
      </c>
      <c r="C124" s="4" t="s">
        <v>118</v>
      </c>
      <c r="D124" s="4" t="s">
        <v>119</v>
      </c>
      <c r="E124" s="5">
        <v>44957</v>
      </c>
      <c r="F124" s="4" t="s">
        <v>221</v>
      </c>
      <c r="G124" s="4"/>
      <c r="H124" s="4"/>
      <c r="I124" s="4" t="s">
        <v>222</v>
      </c>
      <c r="J124" s="4" t="s">
        <v>214</v>
      </c>
      <c r="K124" s="6">
        <v>5000</v>
      </c>
      <c r="L124" s="6"/>
      <c r="M124" s="6">
        <f t="shared" si="2"/>
        <v>39075.75</v>
      </c>
      <c r="N124" s="4" t="s">
        <v>64</v>
      </c>
      <c r="O124" s="4" t="s">
        <v>92</v>
      </c>
      <c r="P124" s="4" t="s">
        <v>66</v>
      </c>
      <c r="Q124" s="4"/>
      <c r="R124" s="4" t="s">
        <v>0</v>
      </c>
      <c r="S124" s="4"/>
    </row>
    <row r="125" spans="1:19" x14ac:dyDescent="0.2">
      <c r="A125" s="17"/>
      <c r="B125" s="4" t="s">
        <v>45</v>
      </c>
      <c r="C125" s="4" t="s">
        <v>118</v>
      </c>
      <c r="D125" s="4" t="s">
        <v>119</v>
      </c>
      <c r="E125" s="5">
        <v>44957</v>
      </c>
      <c r="F125" s="4" t="s">
        <v>223</v>
      </c>
      <c r="G125" s="4"/>
      <c r="H125" s="4"/>
      <c r="I125" s="4" t="s">
        <v>224</v>
      </c>
      <c r="J125" s="4" t="s">
        <v>224</v>
      </c>
      <c r="K125" s="6"/>
      <c r="L125" s="6">
        <v>5000</v>
      </c>
      <c r="M125" s="6">
        <f t="shared" si="2"/>
        <v>34075.75</v>
      </c>
      <c r="N125" s="4" t="s">
        <v>64</v>
      </c>
      <c r="O125" s="4" t="s">
        <v>92</v>
      </c>
      <c r="P125" s="4" t="s">
        <v>66</v>
      </c>
      <c r="Q125" s="4"/>
      <c r="R125" s="4" t="s">
        <v>0</v>
      </c>
      <c r="S125" s="4"/>
    </row>
    <row r="126" spans="1:19" x14ac:dyDescent="0.2">
      <c r="A126" s="17"/>
      <c r="B126" s="4" t="s">
        <v>45</v>
      </c>
      <c r="C126" s="4" t="s">
        <v>118</v>
      </c>
      <c r="D126" s="4" t="s">
        <v>119</v>
      </c>
      <c r="E126" s="5">
        <v>44957</v>
      </c>
      <c r="F126" s="4" t="s">
        <v>225</v>
      </c>
      <c r="G126" s="4"/>
      <c r="H126" s="4"/>
      <c r="I126" s="4" t="s">
        <v>226</v>
      </c>
      <c r="J126" s="4" t="s">
        <v>226</v>
      </c>
      <c r="K126" s="6"/>
      <c r="L126" s="6">
        <v>5000</v>
      </c>
      <c r="M126" s="6">
        <f t="shared" si="2"/>
        <v>29075.75</v>
      </c>
      <c r="N126" s="4" t="s">
        <v>64</v>
      </c>
      <c r="O126" s="4" t="s">
        <v>92</v>
      </c>
      <c r="P126" s="4" t="s">
        <v>66</v>
      </c>
      <c r="Q126" s="4"/>
      <c r="R126" s="4" t="s">
        <v>0</v>
      </c>
      <c r="S126" s="4"/>
    </row>
    <row r="127" spans="1:19" x14ac:dyDescent="0.2">
      <c r="A127" s="17"/>
      <c r="B127" s="4" t="s">
        <v>45</v>
      </c>
      <c r="C127" s="4" t="s">
        <v>118</v>
      </c>
      <c r="D127" s="4" t="s">
        <v>119</v>
      </c>
      <c r="E127" s="5">
        <v>44957</v>
      </c>
      <c r="F127" s="4" t="s">
        <v>227</v>
      </c>
      <c r="G127" s="4"/>
      <c r="H127" s="4"/>
      <c r="I127" s="4" t="s">
        <v>228</v>
      </c>
      <c r="J127" s="4" t="s">
        <v>228</v>
      </c>
      <c r="K127" s="6">
        <v>6826</v>
      </c>
      <c r="L127" s="6"/>
      <c r="M127" s="6">
        <f t="shared" si="2"/>
        <v>35901.75</v>
      </c>
      <c r="N127" s="4" t="s">
        <v>64</v>
      </c>
      <c r="O127" s="4" t="s">
        <v>65</v>
      </c>
      <c r="P127" s="4" t="s">
        <v>66</v>
      </c>
      <c r="Q127" s="4"/>
      <c r="R127" s="4" t="s">
        <v>0</v>
      </c>
      <c r="S127" s="4"/>
    </row>
    <row r="128" spans="1:19" x14ac:dyDescent="0.2">
      <c r="A128" s="17"/>
      <c r="B128" s="4" t="s">
        <v>45</v>
      </c>
      <c r="C128" s="4" t="s">
        <v>118</v>
      </c>
      <c r="D128" s="4" t="s">
        <v>119</v>
      </c>
      <c r="E128" s="5">
        <v>44957</v>
      </c>
      <c r="F128" s="4" t="s">
        <v>229</v>
      </c>
      <c r="G128" s="4"/>
      <c r="H128" s="4"/>
      <c r="I128" s="4" t="s">
        <v>230</v>
      </c>
      <c r="J128" s="4" t="s">
        <v>217</v>
      </c>
      <c r="K128" s="6">
        <v>5500</v>
      </c>
      <c r="L128" s="6"/>
      <c r="M128" s="6">
        <f t="shared" si="2"/>
        <v>41401.75</v>
      </c>
      <c r="N128" s="4" t="s">
        <v>64</v>
      </c>
      <c r="O128" s="4" t="s">
        <v>92</v>
      </c>
      <c r="P128" s="4" t="s">
        <v>66</v>
      </c>
      <c r="Q128" s="4"/>
      <c r="R128" s="4" t="s">
        <v>0</v>
      </c>
      <c r="S128" s="4"/>
    </row>
    <row r="129" spans="1:19" x14ac:dyDescent="0.2">
      <c r="A129" s="17"/>
      <c r="B129" s="4" t="s">
        <v>45</v>
      </c>
      <c r="C129" s="4" t="s">
        <v>118</v>
      </c>
      <c r="D129" s="4" t="s">
        <v>119</v>
      </c>
      <c r="E129" s="5">
        <v>44958</v>
      </c>
      <c r="F129" s="4" t="s">
        <v>231</v>
      </c>
      <c r="G129" s="4"/>
      <c r="H129" s="4"/>
      <c r="I129" s="4" t="s">
        <v>121</v>
      </c>
      <c r="J129" s="4" t="s">
        <v>121</v>
      </c>
      <c r="K129" s="6"/>
      <c r="L129" s="6">
        <v>11</v>
      </c>
      <c r="M129" s="6">
        <f t="shared" si="2"/>
        <v>41390.75</v>
      </c>
      <c r="N129" s="4" t="s">
        <v>64</v>
      </c>
      <c r="O129" s="4" t="s">
        <v>65</v>
      </c>
      <c r="P129" s="4" t="s">
        <v>66</v>
      </c>
      <c r="Q129" s="4"/>
      <c r="R129" s="4" t="s">
        <v>0</v>
      </c>
      <c r="S129" s="4"/>
    </row>
    <row r="130" spans="1:19" x14ac:dyDescent="0.2">
      <c r="A130" s="17"/>
      <c r="B130" s="4" t="s">
        <v>45</v>
      </c>
      <c r="C130" s="4" t="s">
        <v>118</v>
      </c>
      <c r="D130" s="4" t="s">
        <v>119</v>
      </c>
      <c r="E130" s="5">
        <v>44959</v>
      </c>
      <c r="F130" s="4" t="s">
        <v>232</v>
      </c>
      <c r="G130" s="4"/>
      <c r="H130" s="4"/>
      <c r="I130" s="4" t="s">
        <v>233</v>
      </c>
      <c r="J130" s="4" t="s">
        <v>233</v>
      </c>
      <c r="K130" s="6"/>
      <c r="L130" s="6">
        <v>14379.15</v>
      </c>
      <c r="M130" s="6">
        <f t="shared" si="2"/>
        <v>27011.599999999999</v>
      </c>
      <c r="N130" s="4" t="s">
        <v>64</v>
      </c>
      <c r="O130" s="4" t="s">
        <v>92</v>
      </c>
      <c r="P130" s="4" t="s">
        <v>66</v>
      </c>
      <c r="Q130" s="4"/>
      <c r="R130" s="4" t="s">
        <v>0</v>
      </c>
      <c r="S130" s="4"/>
    </row>
    <row r="131" spans="1:19" x14ac:dyDescent="0.2">
      <c r="A131" s="17"/>
      <c r="B131" s="4" t="s">
        <v>45</v>
      </c>
      <c r="C131" s="4" t="s">
        <v>118</v>
      </c>
      <c r="D131" s="4" t="s">
        <v>119</v>
      </c>
      <c r="E131" s="5">
        <v>44959</v>
      </c>
      <c r="F131" s="4" t="s">
        <v>234</v>
      </c>
      <c r="G131" s="4"/>
      <c r="H131" s="4"/>
      <c r="I131" s="4" t="s">
        <v>235</v>
      </c>
      <c r="J131" s="4" t="s">
        <v>235</v>
      </c>
      <c r="K131" s="6"/>
      <c r="L131" s="6">
        <v>10376.35</v>
      </c>
      <c r="M131" s="6">
        <f t="shared" si="2"/>
        <v>16635.25</v>
      </c>
      <c r="N131" s="4" t="s">
        <v>64</v>
      </c>
      <c r="O131" s="4" t="s">
        <v>92</v>
      </c>
      <c r="P131" s="4" t="s">
        <v>66</v>
      </c>
      <c r="Q131" s="4"/>
      <c r="R131" s="4" t="s">
        <v>0</v>
      </c>
      <c r="S131" s="4"/>
    </row>
    <row r="132" spans="1:19" x14ac:dyDescent="0.2">
      <c r="A132" s="17"/>
      <c r="B132" s="4" t="s">
        <v>45</v>
      </c>
      <c r="C132" s="4" t="s">
        <v>118</v>
      </c>
      <c r="D132" s="4" t="s">
        <v>119</v>
      </c>
      <c r="E132" s="5">
        <v>44959</v>
      </c>
      <c r="F132" s="4" t="s">
        <v>236</v>
      </c>
      <c r="G132" s="4"/>
      <c r="H132" s="4"/>
      <c r="I132" s="4" t="s">
        <v>237</v>
      </c>
      <c r="J132" s="4" t="s">
        <v>237</v>
      </c>
      <c r="K132" s="6">
        <v>10376.35</v>
      </c>
      <c r="L132" s="6"/>
      <c r="M132" s="6">
        <f t="shared" si="2"/>
        <v>27011.599999999999</v>
      </c>
      <c r="N132" s="4" t="s">
        <v>64</v>
      </c>
      <c r="O132" s="4" t="s">
        <v>92</v>
      </c>
      <c r="P132" s="4" t="s">
        <v>66</v>
      </c>
      <c r="Q132" s="4"/>
      <c r="R132" s="4" t="s">
        <v>0</v>
      </c>
      <c r="S132" s="4"/>
    </row>
    <row r="133" spans="1:19" x14ac:dyDescent="0.2">
      <c r="A133" s="17"/>
      <c r="B133" s="4" t="s">
        <v>45</v>
      </c>
      <c r="C133" s="4" t="s">
        <v>118</v>
      </c>
      <c r="D133" s="4" t="s">
        <v>119</v>
      </c>
      <c r="E133" s="5">
        <v>44960</v>
      </c>
      <c r="F133" s="4" t="s">
        <v>238</v>
      </c>
      <c r="G133" s="4"/>
      <c r="H133" s="4"/>
      <c r="I133" s="4" t="s">
        <v>239</v>
      </c>
      <c r="J133" s="4" t="s">
        <v>239</v>
      </c>
      <c r="K133" s="6"/>
      <c r="L133" s="6">
        <v>640</v>
      </c>
      <c r="M133" s="6">
        <f t="shared" si="2"/>
        <v>26371.599999999999</v>
      </c>
      <c r="N133" s="4" t="s">
        <v>64</v>
      </c>
      <c r="O133" s="4" t="s">
        <v>92</v>
      </c>
      <c r="P133" s="4" t="s">
        <v>66</v>
      </c>
      <c r="Q133" s="4"/>
      <c r="R133" s="4" t="s">
        <v>0</v>
      </c>
      <c r="S133" s="4"/>
    </row>
    <row r="134" spans="1:19" x14ac:dyDescent="0.2">
      <c r="A134" s="17"/>
      <c r="B134" s="4" t="s">
        <v>45</v>
      </c>
      <c r="C134" s="4" t="s">
        <v>118</v>
      </c>
      <c r="D134" s="4" t="s">
        <v>119</v>
      </c>
      <c r="E134" s="5">
        <v>44963</v>
      </c>
      <c r="F134" s="4" t="s">
        <v>240</v>
      </c>
      <c r="G134" s="4"/>
      <c r="H134" s="4"/>
      <c r="I134" s="4" t="s">
        <v>241</v>
      </c>
      <c r="J134" s="4" t="s">
        <v>241</v>
      </c>
      <c r="K134" s="6"/>
      <c r="L134" s="6">
        <v>205</v>
      </c>
      <c r="M134" s="6">
        <f t="shared" si="2"/>
        <v>26166.6</v>
      </c>
      <c r="N134" s="4" t="s">
        <v>64</v>
      </c>
      <c r="O134" s="4" t="s">
        <v>92</v>
      </c>
      <c r="P134" s="4" t="s">
        <v>66</v>
      </c>
      <c r="Q134" s="4"/>
      <c r="R134" s="4" t="s">
        <v>0</v>
      </c>
      <c r="S134" s="4"/>
    </row>
    <row r="135" spans="1:19" x14ac:dyDescent="0.2">
      <c r="A135" s="17"/>
      <c r="B135" s="4" t="s">
        <v>45</v>
      </c>
      <c r="C135" s="4" t="s">
        <v>118</v>
      </c>
      <c r="D135" s="4" t="s">
        <v>119</v>
      </c>
      <c r="E135" s="5">
        <v>44970</v>
      </c>
      <c r="F135" s="4" t="s">
        <v>242</v>
      </c>
      <c r="G135" s="4"/>
      <c r="H135" s="4"/>
      <c r="I135" s="4" t="s">
        <v>243</v>
      </c>
      <c r="J135" s="4" t="s">
        <v>243</v>
      </c>
      <c r="K135" s="6"/>
      <c r="L135" s="6">
        <v>2805.15</v>
      </c>
      <c r="M135" s="6">
        <f t="shared" si="2"/>
        <v>23361.449999999997</v>
      </c>
      <c r="N135" s="4" t="s">
        <v>64</v>
      </c>
      <c r="O135" s="4" t="s">
        <v>92</v>
      </c>
      <c r="P135" s="4" t="s">
        <v>66</v>
      </c>
      <c r="Q135" s="4"/>
      <c r="R135" s="4" t="s">
        <v>0</v>
      </c>
      <c r="S135" s="4"/>
    </row>
    <row r="136" spans="1:19" x14ac:dyDescent="0.2">
      <c r="A136" s="17"/>
      <c r="B136" s="4" t="s">
        <v>45</v>
      </c>
      <c r="C136" s="4" t="s">
        <v>118</v>
      </c>
      <c r="D136" s="4" t="s">
        <v>119</v>
      </c>
      <c r="E136" s="5">
        <v>44970</v>
      </c>
      <c r="F136" s="4" t="s">
        <v>244</v>
      </c>
      <c r="G136" s="4"/>
      <c r="H136" s="4"/>
      <c r="I136" s="4" t="s">
        <v>245</v>
      </c>
      <c r="J136" s="4" t="s">
        <v>245</v>
      </c>
      <c r="K136" s="6"/>
      <c r="L136" s="6">
        <v>5068.33</v>
      </c>
      <c r="M136" s="6">
        <f t="shared" si="2"/>
        <v>18293.119999999995</v>
      </c>
      <c r="N136" s="4" t="s">
        <v>64</v>
      </c>
      <c r="O136" s="4" t="s">
        <v>65</v>
      </c>
      <c r="P136" s="4" t="s">
        <v>66</v>
      </c>
      <c r="Q136" s="4"/>
      <c r="R136" s="4" t="s">
        <v>0</v>
      </c>
      <c r="S136" s="4"/>
    </row>
    <row r="137" spans="1:19" x14ac:dyDescent="0.2">
      <c r="A137" s="17"/>
      <c r="B137" s="4" t="s">
        <v>45</v>
      </c>
      <c r="C137" s="4" t="s">
        <v>118</v>
      </c>
      <c r="D137" s="4" t="s">
        <v>119</v>
      </c>
      <c r="E137" s="5">
        <v>44970</v>
      </c>
      <c r="F137" s="4" t="s">
        <v>246</v>
      </c>
      <c r="G137" s="4"/>
      <c r="H137" s="4"/>
      <c r="I137" s="4" t="s">
        <v>247</v>
      </c>
      <c r="J137" s="4" t="s">
        <v>247</v>
      </c>
      <c r="K137" s="6"/>
      <c r="L137" s="6">
        <v>1000</v>
      </c>
      <c r="M137" s="6">
        <f t="shared" si="2"/>
        <v>17293.119999999995</v>
      </c>
      <c r="N137" s="4" t="s">
        <v>64</v>
      </c>
      <c r="O137" s="4" t="s">
        <v>92</v>
      </c>
      <c r="P137" s="4" t="s">
        <v>66</v>
      </c>
      <c r="Q137" s="4"/>
      <c r="R137" s="4" t="s">
        <v>0</v>
      </c>
      <c r="S137" s="4"/>
    </row>
    <row r="138" spans="1:19" x14ac:dyDescent="0.2">
      <c r="A138" s="17"/>
      <c r="B138" s="4" t="s">
        <v>45</v>
      </c>
      <c r="C138" s="4" t="s">
        <v>118</v>
      </c>
      <c r="D138" s="4" t="s">
        <v>119</v>
      </c>
      <c r="E138" s="5">
        <v>44971</v>
      </c>
      <c r="F138" s="4" t="s">
        <v>248</v>
      </c>
      <c r="G138" s="4"/>
      <c r="H138" s="4"/>
      <c r="I138" s="4" t="s">
        <v>249</v>
      </c>
      <c r="J138" s="4" t="s">
        <v>249</v>
      </c>
      <c r="K138" s="6">
        <v>2699</v>
      </c>
      <c r="L138" s="6"/>
      <c r="M138" s="6">
        <f t="shared" si="2"/>
        <v>19992.119999999995</v>
      </c>
      <c r="N138" s="4" t="s">
        <v>64</v>
      </c>
      <c r="O138" s="4" t="s">
        <v>65</v>
      </c>
      <c r="P138" s="4" t="s">
        <v>66</v>
      </c>
      <c r="Q138" s="4"/>
      <c r="R138" s="4" t="s">
        <v>0</v>
      </c>
      <c r="S138" s="4"/>
    </row>
    <row r="139" spans="1:19" x14ac:dyDescent="0.2">
      <c r="A139" s="17"/>
      <c r="B139" s="4" t="s">
        <v>45</v>
      </c>
      <c r="C139" s="4" t="s">
        <v>118</v>
      </c>
      <c r="D139" s="4" t="s">
        <v>119</v>
      </c>
      <c r="E139" s="5">
        <v>44973</v>
      </c>
      <c r="F139" s="4" t="s">
        <v>250</v>
      </c>
      <c r="G139" s="4"/>
      <c r="H139" s="4"/>
      <c r="I139" s="4" t="s">
        <v>251</v>
      </c>
      <c r="J139" s="4" t="s">
        <v>251</v>
      </c>
      <c r="K139" s="6"/>
      <c r="L139" s="6">
        <v>5068</v>
      </c>
      <c r="M139" s="6">
        <f t="shared" si="2"/>
        <v>14924.119999999995</v>
      </c>
      <c r="N139" s="4" t="s">
        <v>64</v>
      </c>
      <c r="O139" s="4" t="s">
        <v>65</v>
      </c>
      <c r="P139" s="4" t="s">
        <v>66</v>
      </c>
      <c r="Q139" s="4"/>
      <c r="R139" s="4" t="s">
        <v>0</v>
      </c>
      <c r="S139" s="4"/>
    </row>
    <row r="140" spans="1:19" x14ac:dyDescent="0.2">
      <c r="A140" s="17"/>
      <c r="B140" s="4" t="s">
        <v>45</v>
      </c>
      <c r="C140" s="4" t="s">
        <v>118</v>
      </c>
      <c r="D140" s="4" t="s">
        <v>119</v>
      </c>
      <c r="E140" s="5">
        <v>44973</v>
      </c>
      <c r="F140" s="4" t="s">
        <v>252</v>
      </c>
      <c r="G140" s="4"/>
      <c r="H140" s="4"/>
      <c r="I140" s="4" t="s">
        <v>253</v>
      </c>
      <c r="J140" s="4" t="s">
        <v>253</v>
      </c>
      <c r="K140" s="6"/>
      <c r="L140" s="6">
        <v>10160</v>
      </c>
      <c r="M140" s="6">
        <f t="shared" ref="M140:M203" si="3">M139+K140-L140</f>
        <v>4764.1199999999953</v>
      </c>
      <c r="N140" s="4" t="s">
        <v>64</v>
      </c>
      <c r="O140" s="4" t="s">
        <v>65</v>
      </c>
      <c r="P140" s="4" t="s">
        <v>66</v>
      </c>
      <c r="Q140" s="4"/>
      <c r="R140" s="4" t="s">
        <v>0</v>
      </c>
      <c r="S140" s="4"/>
    </row>
    <row r="141" spans="1:19" x14ac:dyDescent="0.2">
      <c r="A141" s="17"/>
      <c r="B141" s="4" t="s">
        <v>45</v>
      </c>
      <c r="C141" s="4" t="s">
        <v>118</v>
      </c>
      <c r="D141" s="4" t="s">
        <v>119</v>
      </c>
      <c r="E141" s="5">
        <v>44978</v>
      </c>
      <c r="F141" s="4" t="s">
        <v>254</v>
      </c>
      <c r="G141" s="4"/>
      <c r="H141" s="4"/>
      <c r="I141" s="4" t="s">
        <v>255</v>
      </c>
      <c r="J141" s="4" t="s">
        <v>255</v>
      </c>
      <c r="K141" s="6"/>
      <c r="L141" s="6">
        <v>8190</v>
      </c>
      <c r="M141" s="6">
        <f t="shared" si="3"/>
        <v>-3425.8800000000047</v>
      </c>
      <c r="N141" s="4" t="s">
        <v>64</v>
      </c>
      <c r="O141" s="4" t="s">
        <v>92</v>
      </c>
      <c r="P141" s="4" t="s">
        <v>66</v>
      </c>
      <c r="Q141" s="4"/>
      <c r="R141" s="4" t="s">
        <v>0</v>
      </c>
      <c r="S141" s="4"/>
    </row>
    <row r="142" spans="1:19" x14ac:dyDescent="0.2">
      <c r="A142" s="17"/>
      <c r="B142" s="4" t="s">
        <v>45</v>
      </c>
      <c r="C142" s="4" t="s">
        <v>118</v>
      </c>
      <c r="D142" s="4" t="s">
        <v>119</v>
      </c>
      <c r="E142" s="5">
        <v>44978</v>
      </c>
      <c r="F142" s="4" t="s">
        <v>256</v>
      </c>
      <c r="G142" s="4"/>
      <c r="H142" s="4"/>
      <c r="I142" s="4" t="s">
        <v>257</v>
      </c>
      <c r="J142" s="4" t="s">
        <v>257</v>
      </c>
      <c r="K142" s="6"/>
      <c r="L142" s="6">
        <v>16000</v>
      </c>
      <c r="M142" s="6">
        <f t="shared" si="3"/>
        <v>-19425.880000000005</v>
      </c>
      <c r="N142" s="4" t="s">
        <v>64</v>
      </c>
      <c r="O142" s="4" t="s">
        <v>92</v>
      </c>
      <c r="P142" s="4" t="s">
        <v>66</v>
      </c>
      <c r="Q142" s="4"/>
      <c r="R142" s="4" t="s">
        <v>0</v>
      </c>
      <c r="S142" s="4"/>
    </row>
    <row r="143" spans="1:19" x14ac:dyDescent="0.2">
      <c r="A143" s="17"/>
      <c r="B143" s="4" t="s">
        <v>45</v>
      </c>
      <c r="C143" s="4" t="s">
        <v>118</v>
      </c>
      <c r="D143" s="4" t="s">
        <v>119</v>
      </c>
      <c r="E143" s="5">
        <v>44978</v>
      </c>
      <c r="F143" s="4" t="s">
        <v>258</v>
      </c>
      <c r="G143" s="4"/>
      <c r="H143" s="4"/>
      <c r="I143" s="4" t="s">
        <v>259</v>
      </c>
      <c r="J143" s="4" t="s">
        <v>259</v>
      </c>
      <c r="K143" s="6"/>
      <c r="L143" s="6">
        <v>3780</v>
      </c>
      <c r="M143" s="6">
        <f t="shared" si="3"/>
        <v>-23205.880000000005</v>
      </c>
      <c r="N143" s="4" t="s">
        <v>64</v>
      </c>
      <c r="O143" s="4" t="s">
        <v>92</v>
      </c>
      <c r="P143" s="4" t="s">
        <v>66</v>
      </c>
      <c r="Q143" s="4"/>
      <c r="R143" s="4" t="s">
        <v>0</v>
      </c>
      <c r="S143" s="4"/>
    </row>
    <row r="144" spans="1:19" x14ac:dyDescent="0.2">
      <c r="A144" s="17"/>
      <c r="B144" s="4" t="s">
        <v>45</v>
      </c>
      <c r="C144" s="4" t="s">
        <v>118</v>
      </c>
      <c r="D144" s="4" t="s">
        <v>119</v>
      </c>
      <c r="E144" s="5">
        <v>44978</v>
      </c>
      <c r="F144" s="4" t="s">
        <v>260</v>
      </c>
      <c r="G144" s="4"/>
      <c r="H144" s="4"/>
      <c r="I144" s="4" t="s">
        <v>261</v>
      </c>
      <c r="J144" s="4" t="s">
        <v>261</v>
      </c>
      <c r="K144" s="6"/>
      <c r="L144" s="6">
        <v>787.5</v>
      </c>
      <c r="M144" s="6">
        <f t="shared" si="3"/>
        <v>-23993.380000000005</v>
      </c>
      <c r="N144" s="4" t="s">
        <v>64</v>
      </c>
      <c r="O144" s="4" t="s">
        <v>92</v>
      </c>
      <c r="P144" s="4" t="s">
        <v>66</v>
      </c>
      <c r="Q144" s="4"/>
      <c r="R144" s="4" t="s">
        <v>0</v>
      </c>
      <c r="S144" s="4"/>
    </row>
    <row r="145" spans="1:19" x14ac:dyDescent="0.2">
      <c r="A145" s="17"/>
      <c r="B145" s="4" t="s">
        <v>45</v>
      </c>
      <c r="C145" s="4" t="s">
        <v>118</v>
      </c>
      <c r="D145" s="4" t="s">
        <v>119</v>
      </c>
      <c r="E145" s="5">
        <v>44978</v>
      </c>
      <c r="F145" s="4" t="s">
        <v>262</v>
      </c>
      <c r="G145" s="4"/>
      <c r="H145" s="4"/>
      <c r="I145" s="4" t="s">
        <v>263</v>
      </c>
      <c r="J145" s="4" t="s">
        <v>263</v>
      </c>
      <c r="K145" s="6"/>
      <c r="L145" s="6">
        <v>3360</v>
      </c>
      <c r="M145" s="6">
        <f t="shared" si="3"/>
        <v>-27353.380000000005</v>
      </c>
      <c r="N145" s="4" t="s">
        <v>64</v>
      </c>
      <c r="O145" s="4" t="s">
        <v>92</v>
      </c>
      <c r="P145" s="4" t="s">
        <v>66</v>
      </c>
      <c r="Q145" s="4"/>
      <c r="R145" s="4" t="s">
        <v>0</v>
      </c>
      <c r="S145" s="4"/>
    </row>
    <row r="146" spans="1:19" x14ac:dyDescent="0.2">
      <c r="A146" s="17"/>
      <c r="B146" s="4" t="s">
        <v>45</v>
      </c>
      <c r="C146" s="4" t="s">
        <v>118</v>
      </c>
      <c r="D146" s="4" t="s">
        <v>119</v>
      </c>
      <c r="E146" s="5">
        <v>44978</v>
      </c>
      <c r="F146" s="4" t="s">
        <v>264</v>
      </c>
      <c r="G146" s="4"/>
      <c r="H146" s="4"/>
      <c r="I146" s="4" t="s">
        <v>265</v>
      </c>
      <c r="J146" s="4" t="s">
        <v>265</v>
      </c>
      <c r="K146" s="6"/>
      <c r="L146" s="6">
        <v>2079</v>
      </c>
      <c r="M146" s="6">
        <f t="shared" si="3"/>
        <v>-29432.380000000005</v>
      </c>
      <c r="N146" s="4" t="s">
        <v>64</v>
      </c>
      <c r="O146" s="4" t="s">
        <v>92</v>
      </c>
      <c r="P146" s="4" t="s">
        <v>66</v>
      </c>
      <c r="Q146" s="4"/>
      <c r="R146" s="4" t="s">
        <v>0</v>
      </c>
      <c r="S146" s="4"/>
    </row>
    <row r="147" spans="1:19" x14ac:dyDescent="0.2">
      <c r="A147" s="17"/>
      <c r="B147" s="4" t="s">
        <v>45</v>
      </c>
      <c r="C147" s="4" t="s">
        <v>118</v>
      </c>
      <c r="D147" s="4" t="s">
        <v>119</v>
      </c>
      <c r="E147" s="5">
        <v>44979</v>
      </c>
      <c r="F147" s="4" t="s">
        <v>266</v>
      </c>
      <c r="G147" s="4"/>
      <c r="H147" s="4"/>
      <c r="I147" s="4" t="s">
        <v>267</v>
      </c>
      <c r="J147" s="4" t="s">
        <v>267</v>
      </c>
      <c r="K147" s="6">
        <v>2835</v>
      </c>
      <c r="L147" s="6"/>
      <c r="M147" s="6">
        <f t="shared" si="3"/>
        <v>-26597.380000000005</v>
      </c>
      <c r="N147" s="4" t="s">
        <v>64</v>
      </c>
      <c r="O147" s="4" t="s">
        <v>92</v>
      </c>
      <c r="P147" s="4" t="s">
        <v>66</v>
      </c>
      <c r="Q147" s="4"/>
      <c r="R147" s="4" t="s">
        <v>0</v>
      </c>
      <c r="S147" s="4"/>
    </row>
    <row r="148" spans="1:19" x14ac:dyDescent="0.2">
      <c r="A148" s="17"/>
      <c r="B148" s="4" t="s">
        <v>45</v>
      </c>
      <c r="C148" s="4" t="s">
        <v>118</v>
      </c>
      <c r="D148" s="4" t="s">
        <v>119</v>
      </c>
      <c r="E148" s="5">
        <v>44979</v>
      </c>
      <c r="F148" s="4" t="s">
        <v>268</v>
      </c>
      <c r="G148" s="4"/>
      <c r="H148" s="4"/>
      <c r="I148" s="4" t="s">
        <v>269</v>
      </c>
      <c r="J148" s="4" t="s">
        <v>269</v>
      </c>
      <c r="K148" s="6">
        <v>27111</v>
      </c>
      <c r="L148" s="6"/>
      <c r="M148" s="6">
        <f t="shared" si="3"/>
        <v>513.61999999999534</v>
      </c>
      <c r="N148" s="4" t="s">
        <v>64</v>
      </c>
      <c r="O148" s="4" t="s">
        <v>92</v>
      </c>
      <c r="P148" s="4" t="s">
        <v>66</v>
      </c>
      <c r="Q148" s="4"/>
      <c r="R148" s="4" t="s">
        <v>0</v>
      </c>
      <c r="S148" s="4"/>
    </row>
    <row r="149" spans="1:19" x14ac:dyDescent="0.2">
      <c r="A149" s="17"/>
      <c r="B149" s="4" t="s">
        <v>45</v>
      </c>
      <c r="C149" s="4" t="s">
        <v>118</v>
      </c>
      <c r="D149" s="4" t="s">
        <v>119</v>
      </c>
      <c r="E149" s="5">
        <v>44979</v>
      </c>
      <c r="F149" s="4" t="s">
        <v>270</v>
      </c>
      <c r="G149" s="4"/>
      <c r="H149" s="4"/>
      <c r="I149" s="4" t="s">
        <v>271</v>
      </c>
      <c r="J149" s="4" t="s">
        <v>271</v>
      </c>
      <c r="K149" s="6"/>
      <c r="L149" s="6">
        <v>2835</v>
      </c>
      <c r="M149" s="6">
        <f t="shared" si="3"/>
        <v>-2321.3800000000047</v>
      </c>
      <c r="N149" s="4" t="s">
        <v>64</v>
      </c>
      <c r="O149" s="4" t="s">
        <v>65</v>
      </c>
      <c r="P149" s="4" t="s">
        <v>66</v>
      </c>
      <c r="Q149" s="4"/>
      <c r="R149" s="4" t="s">
        <v>0</v>
      </c>
      <c r="S149" s="4"/>
    </row>
    <row r="150" spans="1:19" x14ac:dyDescent="0.2">
      <c r="A150" s="17"/>
      <c r="B150" s="4" t="s">
        <v>45</v>
      </c>
      <c r="C150" s="4" t="s">
        <v>118</v>
      </c>
      <c r="D150" s="4" t="s">
        <v>119</v>
      </c>
      <c r="E150" s="5">
        <v>44984</v>
      </c>
      <c r="F150" s="4" t="s">
        <v>272</v>
      </c>
      <c r="G150" s="4"/>
      <c r="H150" s="4"/>
      <c r="I150" s="4" t="s">
        <v>273</v>
      </c>
      <c r="J150" s="4" t="s">
        <v>273</v>
      </c>
      <c r="K150" s="6">
        <v>12114</v>
      </c>
      <c r="L150" s="6"/>
      <c r="M150" s="6">
        <f t="shared" si="3"/>
        <v>9792.6199999999953</v>
      </c>
      <c r="N150" s="4" t="s">
        <v>64</v>
      </c>
      <c r="O150" s="4" t="s">
        <v>65</v>
      </c>
      <c r="P150" s="4" t="s">
        <v>66</v>
      </c>
      <c r="Q150" s="4"/>
      <c r="R150" s="4" t="s">
        <v>0</v>
      </c>
      <c r="S150" s="4"/>
    </row>
    <row r="151" spans="1:19" x14ac:dyDescent="0.2">
      <c r="A151" s="17"/>
      <c r="B151" s="4" t="s">
        <v>45</v>
      </c>
      <c r="C151" s="4" t="s">
        <v>118</v>
      </c>
      <c r="D151" s="4" t="s">
        <v>119</v>
      </c>
      <c r="E151" s="5">
        <v>44984</v>
      </c>
      <c r="F151" s="4" t="s">
        <v>274</v>
      </c>
      <c r="G151" s="4"/>
      <c r="H151" s="4"/>
      <c r="I151" s="4" t="s">
        <v>275</v>
      </c>
      <c r="J151" s="4" t="s">
        <v>275</v>
      </c>
      <c r="K151" s="6"/>
      <c r="L151" s="6">
        <v>6057</v>
      </c>
      <c r="M151" s="6">
        <f t="shared" si="3"/>
        <v>3735.6199999999953</v>
      </c>
      <c r="N151" s="4" t="s">
        <v>64</v>
      </c>
      <c r="O151" s="4" t="s">
        <v>65</v>
      </c>
      <c r="P151" s="4" t="s">
        <v>66</v>
      </c>
      <c r="Q151" s="4"/>
      <c r="R151" s="4" t="s">
        <v>0</v>
      </c>
      <c r="S151" s="4"/>
    </row>
    <row r="152" spans="1:19" x14ac:dyDescent="0.2">
      <c r="A152" s="17"/>
      <c r="B152" s="4" t="s">
        <v>45</v>
      </c>
      <c r="C152" s="4" t="s">
        <v>118</v>
      </c>
      <c r="D152" s="4" t="s">
        <v>119</v>
      </c>
      <c r="E152" s="5">
        <v>44984</v>
      </c>
      <c r="F152" s="4" t="s">
        <v>276</v>
      </c>
      <c r="G152" s="4"/>
      <c r="H152" s="4"/>
      <c r="I152" s="4" t="s">
        <v>277</v>
      </c>
      <c r="J152" s="4" t="s">
        <v>277</v>
      </c>
      <c r="K152" s="6"/>
      <c r="L152" s="6">
        <v>9068</v>
      </c>
      <c r="M152" s="6">
        <f t="shared" si="3"/>
        <v>-5332.3800000000047</v>
      </c>
      <c r="N152" s="4" t="s">
        <v>64</v>
      </c>
      <c r="O152" s="4" t="s">
        <v>92</v>
      </c>
      <c r="P152" s="4" t="s">
        <v>66</v>
      </c>
      <c r="Q152" s="4"/>
      <c r="R152" s="4" t="s">
        <v>0</v>
      </c>
      <c r="S152" s="4"/>
    </row>
    <row r="153" spans="1:19" x14ac:dyDescent="0.2">
      <c r="A153" s="17"/>
      <c r="B153" s="4" t="s">
        <v>45</v>
      </c>
      <c r="C153" s="4" t="s">
        <v>118</v>
      </c>
      <c r="D153" s="4" t="s">
        <v>119</v>
      </c>
      <c r="E153" s="5">
        <v>44984</v>
      </c>
      <c r="F153" s="4" t="s">
        <v>278</v>
      </c>
      <c r="G153" s="4"/>
      <c r="H153" s="4"/>
      <c r="I153" s="4" t="s">
        <v>279</v>
      </c>
      <c r="J153" s="4" t="s">
        <v>279</v>
      </c>
      <c r="K153" s="6"/>
      <c r="L153" s="6">
        <v>9068</v>
      </c>
      <c r="M153" s="6">
        <f t="shared" si="3"/>
        <v>-14400.380000000005</v>
      </c>
      <c r="N153" s="4" t="s">
        <v>64</v>
      </c>
      <c r="O153" s="4" t="s">
        <v>92</v>
      </c>
      <c r="P153" s="4" t="s">
        <v>66</v>
      </c>
      <c r="Q153" s="4"/>
      <c r="R153" s="4" t="s">
        <v>0</v>
      </c>
      <c r="S153" s="4"/>
    </row>
    <row r="154" spans="1:19" x14ac:dyDescent="0.2">
      <c r="A154" s="17"/>
      <c r="B154" s="4" t="s">
        <v>45</v>
      </c>
      <c r="C154" s="4" t="s">
        <v>118</v>
      </c>
      <c r="D154" s="4" t="s">
        <v>119</v>
      </c>
      <c r="E154" s="5">
        <v>44984</v>
      </c>
      <c r="F154" s="4" t="s">
        <v>280</v>
      </c>
      <c r="G154" s="4"/>
      <c r="H154" s="4"/>
      <c r="I154" s="4" t="s">
        <v>281</v>
      </c>
      <c r="J154" s="4" t="s">
        <v>281</v>
      </c>
      <c r="K154" s="6"/>
      <c r="L154" s="6">
        <v>6057</v>
      </c>
      <c r="M154" s="6">
        <f t="shared" si="3"/>
        <v>-20457.380000000005</v>
      </c>
      <c r="N154" s="4" t="s">
        <v>64</v>
      </c>
      <c r="O154" s="4" t="s">
        <v>65</v>
      </c>
      <c r="P154" s="4" t="s">
        <v>66</v>
      </c>
      <c r="Q154" s="4"/>
      <c r="R154" s="4" t="s">
        <v>0</v>
      </c>
      <c r="S154" s="4"/>
    </row>
    <row r="155" spans="1:19" x14ac:dyDescent="0.2">
      <c r="A155" s="17"/>
      <c r="B155" s="4" t="s">
        <v>45</v>
      </c>
      <c r="C155" s="4" t="s">
        <v>118</v>
      </c>
      <c r="D155" s="4" t="s">
        <v>119</v>
      </c>
      <c r="E155" s="5">
        <v>44985</v>
      </c>
      <c r="F155" s="4" t="s">
        <v>282</v>
      </c>
      <c r="G155" s="4"/>
      <c r="H155" s="4"/>
      <c r="I155" s="4" t="s">
        <v>283</v>
      </c>
      <c r="J155" s="4" t="s">
        <v>283</v>
      </c>
      <c r="K155" s="6"/>
      <c r="L155" s="6">
        <v>29846.9</v>
      </c>
      <c r="M155" s="6">
        <f t="shared" si="3"/>
        <v>-50304.280000000006</v>
      </c>
      <c r="N155" s="4" t="s">
        <v>64</v>
      </c>
      <c r="O155" s="4" t="s">
        <v>65</v>
      </c>
      <c r="P155" s="4" t="s">
        <v>66</v>
      </c>
      <c r="Q155" s="4"/>
      <c r="R155" s="4" t="s">
        <v>0</v>
      </c>
      <c r="S155" s="4"/>
    </row>
    <row r="156" spans="1:19" x14ac:dyDescent="0.2">
      <c r="A156" s="17"/>
      <c r="B156" s="4" t="s">
        <v>45</v>
      </c>
      <c r="C156" s="4" t="s">
        <v>118</v>
      </c>
      <c r="D156" s="4" t="s">
        <v>119</v>
      </c>
      <c r="E156" s="5">
        <v>44985</v>
      </c>
      <c r="F156" s="4" t="s">
        <v>284</v>
      </c>
      <c r="G156" s="4"/>
      <c r="H156" s="4"/>
      <c r="I156" s="4" t="s">
        <v>285</v>
      </c>
      <c r="J156" s="4" t="s">
        <v>285</v>
      </c>
      <c r="K156" s="6"/>
      <c r="L156" s="6">
        <v>16813.75</v>
      </c>
      <c r="M156" s="6">
        <f t="shared" si="3"/>
        <v>-67118.03</v>
      </c>
      <c r="N156" s="4" t="s">
        <v>64</v>
      </c>
      <c r="O156" s="4" t="s">
        <v>65</v>
      </c>
      <c r="P156" s="4" t="s">
        <v>66</v>
      </c>
      <c r="Q156" s="4"/>
      <c r="R156" s="4" t="s">
        <v>0</v>
      </c>
      <c r="S156" s="4"/>
    </row>
    <row r="157" spans="1:19" x14ac:dyDescent="0.2">
      <c r="A157" s="17"/>
      <c r="B157" s="4" t="s">
        <v>45</v>
      </c>
      <c r="C157" s="4" t="s">
        <v>118</v>
      </c>
      <c r="D157" s="4" t="s">
        <v>119</v>
      </c>
      <c r="E157" s="5">
        <v>44986</v>
      </c>
      <c r="F157" s="4" t="s">
        <v>286</v>
      </c>
      <c r="G157" s="4"/>
      <c r="H157" s="4"/>
      <c r="I157" s="4" t="s">
        <v>121</v>
      </c>
      <c r="J157" s="4" t="s">
        <v>121</v>
      </c>
      <c r="K157" s="6"/>
      <c r="L157" s="6">
        <v>20</v>
      </c>
      <c r="M157" s="6">
        <f t="shared" si="3"/>
        <v>-67138.03</v>
      </c>
      <c r="N157" s="4" t="s">
        <v>64</v>
      </c>
      <c r="O157" s="4" t="s">
        <v>65</v>
      </c>
      <c r="P157" s="4" t="s">
        <v>66</v>
      </c>
      <c r="Q157" s="4"/>
      <c r="R157" s="4" t="s">
        <v>0</v>
      </c>
      <c r="S157" s="4"/>
    </row>
    <row r="158" spans="1:19" x14ac:dyDescent="0.2">
      <c r="A158" s="17"/>
      <c r="B158" s="4" t="s">
        <v>45</v>
      </c>
      <c r="C158" s="4" t="s">
        <v>118</v>
      </c>
      <c r="D158" s="4" t="s">
        <v>119</v>
      </c>
      <c r="E158" s="5">
        <v>44986</v>
      </c>
      <c r="F158" s="4" t="s">
        <v>287</v>
      </c>
      <c r="G158" s="4"/>
      <c r="H158" s="4"/>
      <c r="I158" s="4" t="s">
        <v>288</v>
      </c>
      <c r="J158" s="4" t="s">
        <v>288</v>
      </c>
      <c r="K158" s="6">
        <v>3066</v>
      </c>
      <c r="L158" s="6"/>
      <c r="M158" s="6">
        <f t="shared" si="3"/>
        <v>-64072.03</v>
      </c>
      <c r="N158" s="4" t="s">
        <v>64</v>
      </c>
      <c r="O158" s="4" t="s">
        <v>65</v>
      </c>
      <c r="P158" s="4" t="s">
        <v>66</v>
      </c>
      <c r="Q158" s="4"/>
      <c r="R158" s="4" t="s">
        <v>0</v>
      </c>
      <c r="S158" s="4"/>
    </row>
    <row r="159" spans="1:19" x14ac:dyDescent="0.2">
      <c r="A159" s="17"/>
      <c r="B159" s="4" t="s">
        <v>45</v>
      </c>
      <c r="C159" s="4" t="s">
        <v>118</v>
      </c>
      <c r="D159" s="4" t="s">
        <v>119</v>
      </c>
      <c r="E159" s="5">
        <v>44986</v>
      </c>
      <c r="F159" s="4" t="s">
        <v>289</v>
      </c>
      <c r="G159" s="4"/>
      <c r="H159" s="4"/>
      <c r="I159" s="4" t="s">
        <v>290</v>
      </c>
      <c r="J159" s="4" t="s">
        <v>290</v>
      </c>
      <c r="K159" s="6"/>
      <c r="L159" s="6">
        <v>179</v>
      </c>
      <c r="M159" s="6">
        <f t="shared" si="3"/>
        <v>-64251.03</v>
      </c>
      <c r="N159" s="4" t="s">
        <v>64</v>
      </c>
      <c r="O159" s="4" t="s">
        <v>65</v>
      </c>
      <c r="P159" s="4" t="s">
        <v>66</v>
      </c>
      <c r="Q159" s="4"/>
      <c r="R159" s="4" t="s">
        <v>0</v>
      </c>
      <c r="S159" s="4"/>
    </row>
    <row r="160" spans="1:19" x14ac:dyDescent="0.2">
      <c r="A160" s="17"/>
      <c r="B160" s="4" t="s">
        <v>45</v>
      </c>
      <c r="C160" s="4" t="s">
        <v>118</v>
      </c>
      <c r="D160" s="4" t="s">
        <v>119</v>
      </c>
      <c r="E160" s="5">
        <v>44986</v>
      </c>
      <c r="F160" s="4" t="s">
        <v>291</v>
      </c>
      <c r="G160" s="4"/>
      <c r="H160" s="4"/>
      <c r="I160" s="4" t="s">
        <v>121</v>
      </c>
      <c r="J160" s="4" t="s">
        <v>121</v>
      </c>
      <c r="K160" s="6"/>
      <c r="L160" s="6">
        <v>170</v>
      </c>
      <c r="M160" s="6">
        <f t="shared" si="3"/>
        <v>-64421.03</v>
      </c>
      <c r="N160" s="4" t="s">
        <v>64</v>
      </c>
      <c r="O160" s="4" t="s">
        <v>65</v>
      </c>
      <c r="P160" s="4" t="s">
        <v>66</v>
      </c>
      <c r="Q160" s="4"/>
      <c r="R160" s="4" t="s">
        <v>0</v>
      </c>
      <c r="S160" s="4"/>
    </row>
    <row r="161" spans="1:19" x14ac:dyDescent="0.2">
      <c r="A161" s="17"/>
      <c r="B161" s="4" t="s">
        <v>45</v>
      </c>
      <c r="C161" s="4" t="s">
        <v>118</v>
      </c>
      <c r="D161" s="4" t="s">
        <v>119</v>
      </c>
      <c r="E161" s="5">
        <v>44987</v>
      </c>
      <c r="F161" s="4" t="s">
        <v>292</v>
      </c>
      <c r="G161" s="4"/>
      <c r="H161" s="4"/>
      <c r="I161" s="4" t="s">
        <v>293</v>
      </c>
      <c r="J161" s="4" t="s">
        <v>293</v>
      </c>
      <c r="K161" s="6"/>
      <c r="L161" s="6">
        <v>7165</v>
      </c>
      <c r="M161" s="6">
        <f t="shared" si="3"/>
        <v>-71586.03</v>
      </c>
      <c r="N161" s="4" t="s">
        <v>64</v>
      </c>
      <c r="O161" s="4" t="s">
        <v>92</v>
      </c>
      <c r="P161" s="4" t="s">
        <v>66</v>
      </c>
      <c r="Q161" s="4"/>
      <c r="R161" s="4" t="s">
        <v>0</v>
      </c>
      <c r="S161" s="4"/>
    </row>
    <row r="162" spans="1:19" x14ac:dyDescent="0.2">
      <c r="A162" s="17"/>
      <c r="B162" s="4" t="s">
        <v>45</v>
      </c>
      <c r="C162" s="4" t="s">
        <v>118</v>
      </c>
      <c r="D162" s="4" t="s">
        <v>119</v>
      </c>
      <c r="E162" s="5">
        <v>44987</v>
      </c>
      <c r="F162" s="4" t="s">
        <v>294</v>
      </c>
      <c r="G162" s="4"/>
      <c r="H162" s="4"/>
      <c r="I162" s="4" t="s">
        <v>295</v>
      </c>
      <c r="J162" s="4" t="s">
        <v>295</v>
      </c>
      <c r="K162" s="6"/>
      <c r="L162" s="6">
        <v>7165</v>
      </c>
      <c r="M162" s="6">
        <f t="shared" si="3"/>
        <v>-78751.03</v>
      </c>
      <c r="N162" s="4" t="s">
        <v>64</v>
      </c>
      <c r="O162" s="4" t="s">
        <v>65</v>
      </c>
      <c r="P162" s="4" t="s">
        <v>66</v>
      </c>
      <c r="Q162" s="4"/>
      <c r="R162" s="4" t="s">
        <v>0</v>
      </c>
      <c r="S162" s="4"/>
    </row>
    <row r="163" spans="1:19" x14ac:dyDescent="0.2">
      <c r="A163" s="17"/>
      <c r="B163" s="4" t="s">
        <v>45</v>
      </c>
      <c r="C163" s="4" t="s">
        <v>118</v>
      </c>
      <c r="D163" s="4" t="s">
        <v>119</v>
      </c>
      <c r="E163" s="5">
        <v>44991</v>
      </c>
      <c r="F163" s="4" t="s">
        <v>296</v>
      </c>
      <c r="G163" s="4"/>
      <c r="H163" s="4"/>
      <c r="I163" s="4" t="s">
        <v>297</v>
      </c>
      <c r="J163" s="4" t="s">
        <v>297</v>
      </c>
      <c r="K163" s="6"/>
      <c r="L163" s="6">
        <v>1011.64</v>
      </c>
      <c r="M163" s="6">
        <f t="shared" si="3"/>
        <v>-79762.67</v>
      </c>
      <c r="N163" s="4" t="s">
        <v>64</v>
      </c>
      <c r="O163" s="4" t="s">
        <v>92</v>
      </c>
      <c r="P163" s="4" t="s">
        <v>66</v>
      </c>
      <c r="Q163" s="4"/>
      <c r="R163" s="4" t="s">
        <v>0</v>
      </c>
      <c r="S163" s="4"/>
    </row>
    <row r="164" spans="1:19" x14ac:dyDescent="0.2">
      <c r="A164" s="17"/>
      <c r="B164" s="4" t="s">
        <v>45</v>
      </c>
      <c r="C164" s="4" t="s">
        <v>118</v>
      </c>
      <c r="D164" s="4" t="s">
        <v>119</v>
      </c>
      <c r="E164" s="5">
        <v>44991</v>
      </c>
      <c r="F164" s="4" t="s">
        <v>298</v>
      </c>
      <c r="G164" s="4"/>
      <c r="H164" s="4"/>
      <c r="I164" s="4" t="s">
        <v>299</v>
      </c>
      <c r="J164" s="4" t="s">
        <v>299</v>
      </c>
      <c r="K164" s="6"/>
      <c r="L164" s="6">
        <v>4090.25</v>
      </c>
      <c r="M164" s="6">
        <f t="shared" si="3"/>
        <v>-83852.92</v>
      </c>
      <c r="N164" s="4" t="s">
        <v>64</v>
      </c>
      <c r="O164" s="4" t="s">
        <v>92</v>
      </c>
      <c r="P164" s="4" t="s">
        <v>66</v>
      </c>
      <c r="Q164" s="4"/>
      <c r="R164" s="4" t="s">
        <v>0</v>
      </c>
      <c r="S164" s="4"/>
    </row>
    <row r="165" spans="1:19" x14ac:dyDescent="0.2">
      <c r="A165" s="17"/>
      <c r="B165" s="4" t="s">
        <v>45</v>
      </c>
      <c r="C165" s="4" t="s">
        <v>118</v>
      </c>
      <c r="D165" s="4" t="s">
        <v>119</v>
      </c>
      <c r="E165" s="5">
        <v>44991</v>
      </c>
      <c r="F165" s="4" t="s">
        <v>300</v>
      </c>
      <c r="G165" s="4"/>
      <c r="H165" s="4"/>
      <c r="I165" s="4" t="s">
        <v>301</v>
      </c>
      <c r="J165" s="4" t="s">
        <v>301</v>
      </c>
      <c r="K165" s="6">
        <v>420</v>
      </c>
      <c r="L165" s="6"/>
      <c r="M165" s="6">
        <f t="shared" si="3"/>
        <v>-83432.92</v>
      </c>
      <c r="N165" s="4" t="s">
        <v>64</v>
      </c>
      <c r="O165" s="4" t="s">
        <v>92</v>
      </c>
      <c r="P165" s="4" t="s">
        <v>66</v>
      </c>
      <c r="Q165" s="4"/>
      <c r="R165" s="4" t="s">
        <v>0</v>
      </c>
      <c r="S165" s="4"/>
    </row>
    <row r="166" spans="1:19" x14ac:dyDescent="0.2">
      <c r="A166" s="17"/>
      <c r="B166" s="4" t="s">
        <v>45</v>
      </c>
      <c r="C166" s="4" t="s">
        <v>118</v>
      </c>
      <c r="D166" s="4" t="s">
        <v>119</v>
      </c>
      <c r="E166" s="5">
        <v>44991</v>
      </c>
      <c r="F166" s="4" t="s">
        <v>302</v>
      </c>
      <c r="G166" s="4"/>
      <c r="H166" s="4"/>
      <c r="I166" s="4" t="s">
        <v>303</v>
      </c>
      <c r="J166" s="4" t="s">
        <v>303</v>
      </c>
      <c r="K166" s="6"/>
      <c r="L166" s="6">
        <v>420</v>
      </c>
      <c r="M166" s="6">
        <f t="shared" si="3"/>
        <v>-83852.92</v>
      </c>
      <c r="N166" s="4" t="s">
        <v>64</v>
      </c>
      <c r="O166" s="4" t="s">
        <v>92</v>
      </c>
      <c r="P166" s="4" t="s">
        <v>66</v>
      </c>
      <c r="Q166" s="4"/>
      <c r="R166" s="4" t="s">
        <v>0</v>
      </c>
      <c r="S166" s="4"/>
    </row>
    <row r="167" spans="1:19" x14ac:dyDescent="0.2">
      <c r="A167" s="17"/>
      <c r="B167" s="4" t="s">
        <v>45</v>
      </c>
      <c r="C167" s="4" t="s">
        <v>118</v>
      </c>
      <c r="D167" s="4" t="s">
        <v>119</v>
      </c>
      <c r="E167" s="5">
        <v>44991</v>
      </c>
      <c r="F167" s="4" t="s">
        <v>304</v>
      </c>
      <c r="G167" s="4"/>
      <c r="H167" s="4"/>
      <c r="I167" s="4" t="s">
        <v>305</v>
      </c>
      <c r="J167" s="4" t="s">
        <v>305</v>
      </c>
      <c r="K167" s="6"/>
      <c r="L167" s="6">
        <v>5500</v>
      </c>
      <c r="M167" s="6">
        <f t="shared" si="3"/>
        <v>-89352.92</v>
      </c>
      <c r="N167" s="4" t="s">
        <v>64</v>
      </c>
      <c r="O167" s="4" t="s">
        <v>92</v>
      </c>
      <c r="P167" s="4" t="s">
        <v>66</v>
      </c>
      <c r="Q167" s="4"/>
      <c r="R167" s="4" t="s">
        <v>0</v>
      </c>
      <c r="S167" s="4"/>
    </row>
    <row r="168" spans="1:19" x14ac:dyDescent="0.2">
      <c r="A168" s="17"/>
      <c r="B168" s="4" t="s">
        <v>45</v>
      </c>
      <c r="C168" s="4" t="s">
        <v>118</v>
      </c>
      <c r="D168" s="4" t="s">
        <v>119</v>
      </c>
      <c r="E168" s="5">
        <v>44996</v>
      </c>
      <c r="F168" s="4" t="s">
        <v>306</v>
      </c>
      <c r="G168" s="4"/>
      <c r="H168" s="4"/>
      <c r="I168" s="4" t="s">
        <v>307</v>
      </c>
      <c r="J168" s="4" t="s">
        <v>307</v>
      </c>
      <c r="K168" s="6">
        <v>19149</v>
      </c>
      <c r="L168" s="6"/>
      <c r="M168" s="6">
        <f t="shared" si="3"/>
        <v>-70203.92</v>
      </c>
      <c r="N168" s="4" t="s">
        <v>64</v>
      </c>
      <c r="O168" s="4" t="s">
        <v>65</v>
      </c>
      <c r="P168" s="4" t="s">
        <v>66</v>
      </c>
      <c r="Q168" s="4"/>
      <c r="R168" s="4" t="s">
        <v>0</v>
      </c>
      <c r="S168" s="4"/>
    </row>
    <row r="169" spans="1:19" x14ac:dyDescent="0.2">
      <c r="A169" s="17"/>
      <c r="B169" s="4" t="s">
        <v>45</v>
      </c>
      <c r="C169" s="4" t="s">
        <v>118</v>
      </c>
      <c r="D169" s="4" t="s">
        <v>119</v>
      </c>
      <c r="E169" s="5">
        <v>44997</v>
      </c>
      <c r="F169" s="4" t="s">
        <v>308</v>
      </c>
      <c r="G169" s="4"/>
      <c r="H169" s="4"/>
      <c r="I169" s="4" t="s">
        <v>309</v>
      </c>
      <c r="J169" s="4" t="s">
        <v>309</v>
      </c>
      <c r="K169" s="6"/>
      <c r="L169" s="6">
        <v>497.96</v>
      </c>
      <c r="M169" s="6">
        <f t="shared" si="3"/>
        <v>-70701.88</v>
      </c>
      <c r="N169" s="4" t="s">
        <v>64</v>
      </c>
      <c r="O169" s="4" t="s">
        <v>65</v>
      </c>
      <c r="P169" s="4" t="s">
        <v>66</v>
      </c>
      <c r="Q169" s="4"/>
      <c r="R169" s="4" t="s">
        <v>0</v>
      </c>
      <c r="S169" s="4"/>
    </row>
    <row r="170" spans="1:19" x14ac:dyDescent="0.2">
      <c r="A170" s="17"/>
      <c r="B170" s="4" t="s">
        <v>45</v>
      </c>
      <c r="C170" s="4" t="s">
        <v>118</v>
      </c>
      <c r="D170" s="4" t="s">
        <v>119</v>
      </c>
      <c r="E170" s="5">
        <v>44998</v>
      </c>
      <c r="F170" s="4" t="s">
        <v>310</v>
      </c>
      <c r="G170" s="4"/>
      <c r="H170" s="4"/>
      <c r="I170" s="4" t="s">
        <v>311</v>
      </c>
      <c r="J170" s="4" t="s">
        <v>311</v>
      </c>
      <c r="K170" s="6"/>
      <c r="L170" s="6">
        <v>5068.33</v>
      </c>
      <c r="M170" s="6">
        <f t="shared" si="3"/>
        <v>-75770.210000000006</v>
      </c>
      <c r="N170" s="4" t="s">
        <v>64</v>
      </c>
      <c r="O170" s="4" t="s">
        <v>65</v>
      </c>
      <c r="P170" s="4" t="s">
        <v>66</v>
      </c>
      <c r="Q170" s="4"/>
      <c r="R170" s="4" t="s">
        <v>0</v>
      </c>
      <c r="S170" s="4"/>
    </row>
    <row r="171" spans="1:19" x14ac:dyDescent="0.2">
      <c r="A171" s="17"/>
      <c r="B171" s="4" t="s">
        <v>45</v>
      </c>
      <c r="C171" s="4" t="s">
        <v>118</v>
      </c>
      <c r="D171" s="4" t="s">
        <v>119</v>
      </c>
      <c r="E171" s="5">
        <v>45000</v>
      </c>
      <c r="F171" s="4" t="s">
        <v>312</v>
      </c>
      <c r="G171" s="4"/>
      <c r="H171" s="4"/>
      <c r="I171" s="4" t="s">
        <v>313</v>
      </c>
      <c r="J171" s="4" t="s">
        <v>313</v>
      </c>
      <c r="K171" s="6"/>
      <c r="L171" s="6">
        <v>497.96</v>
      </c>
      <c r="M171" s="6">
        <f t="shared" si="3"/>
        <v>-76268.170000000013</v>
      </c>
      <c r="N171" s="4" t="s">
        <v>64</v>
      </c>
      <c r="O171" s="4" t="s">
        <v>65</v>
      </c>
      <c r="P171" s="4" t="s">
        <v>66</v>
      </c>
      <c r="Q171" s="4"/>
      <c r="R171" s="4" t="s">
        <v>0</v>
      </c>
      <c r="S171" s="4"/>
    </row>
    <row r="172" spans="1:19" x14ac:dyDescent="0.2">
      <c r="A172" s="17"/>
      <c r="B172" s="4" t="s">
        <v>45</v>
      </c>
      <c r="C172" s="4" t="s">
        <v>118</v>
      </c>
      <c r="D172" s="4" t="s">
        <v>119</v>
      </c>
      <c r="E172" s="5">
        <v>45000</v>
      </c>
      <c r="F172" s="4" t="s">
        <v>314</v>
      </c>
      <c r="G172" s="4"/>
      <c r="H172" s="4"/>
      <c r="I172" s="4" t="s">
        <v>315</v>
      </c>
      <c r="J172" s="4" t="s">
        <v>315</v>
      </c>
      <c r="K172" s="6"/>
      <c r="L172" s="6">
        <v>5000</v>
      </c>
      <c r="M172" s="6">
        <f t="shared" si="3"/>
        <v>-81268.170000000013</v>
      </c>
      <c r="N172" s="4" t="s">
        <v>64</v>
      </c>
      <c r="O172" s="4" t="s">
        <v>92</v>
      </c>
      <c r="P172" s="4" t="s">
        <v>66</v>
      </c>
      <c r="Q172" s="4"/>
      <c r="R172" s="4" t="s">
        <v>0</v>
      </c>
      <c r="S172" s="4"/>
    </row>
    <row r="173" spans="1:19" x14ac:dyDescent="0.2">
      <c r="A173" s="17"/>
      <c r="B173" s="4" t="s">
        <v>45</v>
      </c>
      <c r="C173" s="4" t="s">
        <v>118</v>
      </c>
      <c r="D173" s="4" t="s">
        <v>119</v>
      </c>
      <c r="E173" s="5">
        <v>45000</v>
      </c>
      <c r="F173" s="4" t="s">
        <v>316</v>
      </c>
      <c r="G173" s="4"/>
      <c r="H173" s="4"/>
      <c r="I173" s="4" t="s">
        <v>317</v>
      </c>
      <c r="J173" s="4" t="s">
        <v>317</v>
      </c>
      <c r="K173" s="6"/>
      <c r="L173" s="6">
        <v>22249.5</v>
      </c>
      <c r="M173" s="6">
        <f t="shared" si="3"/>
        <v>-103517.67000000001</v>
      </c>
      <c r="N173" s="4" t="s">
        <v>64</v>
      </c>
      <c r="O173" s="4" t="s">
        <v>65</v>
      </c>
      <c r="P173" s="4" t="s">
        <v>66</v>
      </c>
      <c r="Q173" s="4"/>
      <c r="R173" s="4" t="s">
        <v>0</v>
      </c>
      <c r="S173" s="4"/>
    </row>
    <row r="174" spans="1:19" x14ac:dyDescent="0.2">
      <c r="A174" s="17"/>
      <c r="B174" s="4" t="s">
        <v>45</v>
      </c>
      <c r="C174" s="4" t="s">
        <v>118</v>
      </c>
      <c r="D174" s="4" t="s">
        <v>119</v>
      </c>
      <c r="E174" s="5">
        <v>45000</v>
      </c>
      <c r="F174" s="4" t="s">
        <v>318</v>
      </c>
      <c r="G174" s="4"/>
      <c r="H174" s="4"/>
      <c r="I174" s="4" t="s">
        <v>319</v>
      </c>
      <c r="J174" s="4" t="s">
        <v>319</v>
      </c>
      <c r="K174" s="6"/>
      <c r="L174" s="6">
        <v>7835</v>
      </c>
      <c r="M174" s="6">
        <f t="shared" si="3"/>
        <v>-111352.67000000001</v>
      </c>
      <c r="N174" s="4" t="s">
        <v>64</v>
      </c>
      <c r="O174" s="4" t="s">
        <v>65</v>
      </c>
      <c r="P174" s="4" t="s">
        <v>66</v>
      </c>
      <c r="Q174" s="4"/>
      <c r="R174" s="4" t="s">
        <v>0</v>
      </c>
      <c r="S174" s="4"/>
    </row>
    <row r="175" spans="1:19" x14ac:dyDescent="0.2">
      <c r="A175" s="17"/>
      <c r="B175" s="4" t="s">
        <v>45</v>
      </c>
      <c r="C175" s="4" t="s">
        <v>118</v>
      </c>
      <c r="D175" s="4" t="s">
        <v>119</v>
      </c>
      <c r="E175" s="5">
        <v>45000</v>
      </c>
      <c r="F175" s="4" t="s">
        <v>320</v>
      </c>
      <c r="G175" s="4"/>
      <c r="H175" s="4"/>
      <c r="I175" s="4" t="s">
        <v>321</v>
      </c>
      <c r="J175" s="4" t="s">
        <v>321</v>
      </c>
      <c r="K175" s="6"/>
      <c r="L175" s="6">
        <v>7835</v>
      </c>
      <c r="M175" s="6">
        <f t="shared" si="3"/>
        <v>-119187.67000000001</v>
      </c>
      <c r="N175" s="4" t="s">
        <v>64</v>
      </c>
      <c r="O175" s="4" t="s">
        <v>92</v>
      </c>
      <c r="P175" s="4" t="s">
        <v>66</v>
      </c>
      <c r="Q175" s="4"/>
      <c r="R175" s="4" t="s">
        <v>0</v>
      </c>
      <c r="S175" s="4"/>
    </row>
    <row r="176" spans="1:19" x14ac:dyDescent="0.2">
      <c r="A176" s="17"/>
      <c r="B176" s="4" t="s">
        <v>45</v>
      </c>
      <c r="C176" s="4" t="s">
        <v>118</v>
      </c>
      <c r="D176" s="4" t="s">
        <v>119</v>
      </c>
      <c r="E176" s="5">
        <v>45000</v>
      </c>
      <c r="F176" s="4" t="s">
        <v>322</v>
      </c>
      <c r="G176" s="4"/>
      <c r="H176" s="4"/>
      <c r="I176" s="4" t="s">
        <v>323</v>
      </c>
      <c r="J176" s="4" t="s">
        <v>323</v>
      </c>
      <c r="K176" s="6"/>
      <c r="L176" s="6">
        <v>14012.25</v>
      </c>
      <c r="M176" s="6">
        <f t="shared" si="3"/>
        <v>-133199.92000000001</v>
      </c>
      <c r="N176" s="4" t="s">
        <v>64</v>
      </c>
      <c r="O176" s="4" t="s">
        <v>65</v>
      </c>
      <c r="P176" s="4" t="s">
        <v>66</v>
      </c>
      <c r="Q176" s="4"/>
      <c r="R176" s="4" t="s">
        <v>0</v>
      </c>
      <c r="S176" s="4"/>
    </row>
    <row r="177" spans="1:19" x14ac:dyDescent="0.2">
      <c r="A177" s="17"/>
      <c r="B177" s="4" t="s">
        <v>45</v>
      </c>
      <c r="C177" s="4" t="s">
        <v>118</v>
      </c>
      <c r="D177" s="4" t="s">
        <v>119</v>
      </c>
      <c r="E177" s="5">
        <v>45000</v>
      </c>
      <c r="F177" s="4" t="s">
        <v>324</v>
      </c>
      <c r="G177" s="4"/>
      <c r="H177" s="4"/>
      <c r="I177" s="4" t="s">
        <v>325</v>
      </c>
      <c r="J177" s="4" t="s">
        <v>325</v>
      </c>
      <c r="K177" s="6"/>
      <c r="L177" s="6">
        <v>21806.400000000001</v>
      </c>
      <c r="M177" s="6">
        <f t="shared" si="3"/>
        <v>-155006.32</v>
      </c>
      <c r="N177" s="4" t="s">
        <v>64</v>
      </c>
      <c r="O177" s="4" t="s">
        <v>65</v>
      </c>
      <c r="P177" s="4" t="s">
        <v>66</v>
      </c>
      <c r="Q177" s="4"/>
      <c r="R177" s="4" t="s">
        <v>0</v>
      </c>
      <c r="S177" s="4"/>
    </row>
    <row r="178" spans="1:19" x14ac:dyDescent="0.2">
      <c r="A178" s="17"/>
      <c r="B178" s="4" t="s">
        <v>45</v>
      </c>
      <c r="C178" s="4" t="s">
        <v>118</v>
      </c>
      <c r="D178" s="4" t="s">
        <v>119</v>
      </c>
      <c r="E178" s="5">
        <v>45000</v>
      </c>
      <c r="F178" s="4" t="s">
        <v>326</v>
      </c>
      <c r="G178" s="4"/>
      <c r="H178" s="4"/>
      <c r="I178" s="4" t="s">
        <v>327</v>
      </c>
      <c r="J178" s="4" t="s">
        <v>327</v>
      </c>
      <c r="K178" s="6"/>
      <c r="L178" s="6">
        <v>23535.75</v>
      </c>
      <c r="M178" s="6">
        <f t="shared" si="3"/>
        <v>-178542.07</v>
      </c>
      <c r="N178" s="4" t="s">
        <v>64</v>
      </c>
      <c r="O178" s="4" t="s">
        <v>65</v>
      </c>
      <c r="P178" s="4" t="s">
        <v>66</v>
      </c>
      <c r="Q178" s="4"/>
      <c r="R178" s="4" t="s">
        <v>0</v>
      </c>
      <c r="S178" s="4"/>
    </row>
    <row r="179" spans="1:19" x14ac:dyDescent="0.2">
      <c r="A179" s="17"/>
      <c r="B179" s="4" t="s">
        <v>45</v>
      </c>
      <c r="C179" s="4" t="s">
        <v>118</v>
      </c>
      <c r="D179" s="4" t="s">
        <v>119</v>
      </c>
      <c r="E179" s="5">
        <v>45000</v>
      </c>
      <c r="F179" s="4" t="s">
        <v>328</v>
      </c>
      <c r="G179" s="4"/>
      <c r="H179" s="4"/>
      <c r="I179" s="4" t="s">
        <v>329</v>
      </c>
      <c r="J179" s="4" t="s">
        <v>329</v>
      </c>
      <c r="K179" s="6"/>
      <c r="L179" s="6">
        <v>3458.78</v>
      </c>
      <c r="M179" s="6">
        <f t="shared" si="3"/>
        <v>-182000.85</v>
      </c>
      <c r="N179" s="4" t="s">
        <v>64</v>
      </c>
      <c r="O179" s="4" t="s">
        <v>92</v>
      </c>
      <c r="P179" s="4" t="s">
        <v>66</v>
      </c>
      <c r="Q179" s="4"/>
      <c r="R179" s="4" t="s">
        <v>0</v>
      </c>
      <c r="S179" s="4"/>
    </row>
    <row r="180" spans="1:19" x14ac:dyDescent="0.2">
      <c r="A180" s="17"/>
      <c r="B180" s="4" t="s">
        <v>45</v>
      </c>
      <c r="C180" s="4" t="s">
        <v>118</v>
      </c>
      <c r="D180" s="4" t="s">
        <v>119</v>
      </c>
      <c r="E180" s="5">
        <v>45005</v>
      </c>
      <c r="F180" s="4" t="s">
        <v>330</v>
      </c>
      <c r="G180" s="4"/>
      <c r="H180" s="4"/>
      <c r="I180" s="4" t="s">
        <v>331</v>
      </c>
      <c r="J180" s="4" t="s">
        <v>331</v>
      </c>
      <c r="K180" s="6"/>
      <c r="L180" s="6">
        <v>6400</v>
      </c>
      <c r="M180" s="6">
        <f t="shared" si="3"/>
        <v>-188400.85</v>
      </c>
      <c r="N180" s="4" t="s">
        <v>64</v>
      </c>
      <c r="O180" s="4" t="s">
        <v>65</v>
      </c>
      <c r="P180" s="4" t="s">
        <v>66</v>
      </c>
      <c r="Q180" s="4"/>
      <c r="R180" s="4" t="s">
        <v>0</v>
      </c>
      <c r="S180" s="4"/>
    </row>
    <row r="181" spans="1:19" x14ac:dyDescent="0.2">
      <c r="A181" s="17"/>
      <c r="B181" s="4" t="s">
        <v>45</v>
      </c>
      <c r="C181" s="4" t="s">
        <v>118</v>
      </c>
      <c r="D181" s="4" t="s">
        <v>119</v>
      </c>
      <c r="E181" s="5">
        <v>45007</v>
      </c>
      <c r="F181" s="4" t="s">
        <v>332</v>
      </c>
      <c r="G181" s="4"/>
      <c r="H181" s="4"/>
      <c r="I181" s="4" t="s">
        <v>333</v>
      </c>
      <c r="J181" s="4" t="s">
        <v>333</v>
      </c>
      <c r="K181" s="6"/>
      <c r="L181" s="6">
        <v>5745.23</v>
      </c>
      <c r="M181" s="6">
        <f t="shared" si="3"/>
        <v>-194146.08000000002</v>
      </c>
      <c r="N181" s="4" t="s">
        <v>64</v>
      </c>
      <c r="O181" s="4" t="s">
        <v>65</v>
      </c>
      <c r="P181" s="4" t="s">
        <v>66</v>
      </c>
      <c r="Q181" s="4"/>
      <c r="R181" s="4" t="s">
        <v>0</v>
      </c>
      <c r="S181" s="4"/>
    </row>
    <row r="182" spans="1:19" x14ac:dyDescent="0.2">
      <c r="A182" s="17"/>
      <c r="B182" s="4" t="s">
        <v>45</v>
      </c>
      <c r="C182" s="4" t="s">
        <v>118</v>
      </c>
      <c r="D182" s="4" t="s">
        <v>119</v>
      </c>
      <c r="E182" s="5">
        <v>45009</v>
      </c>
      <c r="F182" s="4" t="s">
        <v>334</v>
      </c>
      <c r="G182" s="4"/>
      <c r="H182" s="4"/>
      <c r="I182" s="4" t="s">
        <v>335</v>
      </c>
      <c r="J182" s="4" t="s">
        <v>283</v>
      </c>
      <c r="K182" s="6"/>
      <c r="L182" s="6">
        <v>27450.9</v>
      </c>
      <c r="M182" s="6">
        <f t="shared" si="3"/>
        <v>-221596.98</v>
      </c>
      <c r="N182" s="4" t="s">
        <v>64</v>
      </c>
      <c r="O182" s="4" t="s">
        <v>65</v>
      </c>
      <c r="P182" s="4" t="s">
        <v>66</v>
      </c>
      <c r="Q182" s="4"/>
      <c r="R182" s="4" t="s">
        <v>0</v>
      </c>
      <c r="S182" s="4"/>
    </row>
    <row r="183" spans="1:19" x14ac:dyDescent="0.2">
      <c r="A183" s="17"/>
      <c r="B183" s="4" t="s">
        <v>45</v>
      </c>
      <c r="C183" s="4" t="s">
        <v>118</v>
      </c>
      <c r="D183" s="4" t="s">
        <v>119</v>
      </c>
      <c r="E183" s="5">
        <v>45014</v>
      </c>
      <c r="F183" s="4" t="s">
        <v>336</v>
      </c>
      <c r="G183" s="4"/>
      <c r="H183" s="4"/>
      <c r="I183" s="4" t="s">
        <v>337</v>
      </c>
      <c r="J183" s="4" t="s">
        <v>337</v>
      </c>
      <c r="K183" s="6"/>
      <c r="L183" s="6">
        <v>3255</v>
      </c>
      <c r="M183" s="6">
        <f t="shared" si="3"/>
        <v>-224851.98</v>
      </c>
      <c r="N183" s="4" t="s">
        <v>64</v>
      </c>
      <c r="O183" s="4" t="s">
        <v>92</v>
      </c>
      <c r="P183" s="4" t="s">
        <v>66</v>
      </c>
      <c r="Q183" s="4"/>
      <c r="R183" s="4" t="s">
        <v>0</v>
      </c>
      <c r="S183" s="4"/>
    </row>
    <row r="184" spans="1:19" x14ac:dyDescent="0.2">
      <c r="A184" s="17"/>
      <c r="B184" s="4" t="s">
        <v>45</v>
      </c>
      <c r="C184" s="4" t="s">
        <v>118</v>
      </c>
      <c r="D184" s="4" t="s">
        <v>119</v>
      </c>
      <c r="E184" s="5">
        <v>45015</v>
      </c>
      <c r="F184" s="4" t="s">
        <v>338</v>
      </c>
      <c r="G184" s="4"/>
      <c r="H184" s="4"/>
      <c r="I184" s="4" t="s">
        <v>339</v>
      </c>
      <c r="J184" s="4" t="s">
        <v>339</v>
      </c>
      <c r="K184" s="6"/>
      <c r="L184" s="6">
        <v>4700</v>
      </c>
      <c r="M184" s="6">
        <f t="shared" si="3"/>
        <v>-229551.98</v>
      </c>
      <c r="N184" s="4" t="s">
        <v>64</v>
      </c>
      <c r="O184" s="4" t="s">
        <v>92</v>
      </c>
      <c r="P184" s="4" t="s">
        <v>66</v>
      </c>
      <c r="Q184" s="4"/>
      <c r="R184" s="4" t="s">
        <v>0</v>
      </c>
      <c r="S184" s="4"/>
    </row>
    <row r="185" spans="1:19" x14ac:dyDescent="0.2">
      <c r="A185" s="17"/>
      <c r="B185" s="4" t="s">
        <v>45</v>
      </c>
      <c r="C185" s="4" t="s">
        <v>118</v>
      </c>
      <c r="D185" s="4" t="s">
        <v>119</v>
      </c>
      <c r="E185" s="5">
        <v>45015</v>
      </c>
      <c r="F185" s="4" t="s">
        <v>340</v>
      </c>
      <c r="G185" s="4"/>
      <c r="H185" s="4"/>
      <c r="I185" s="4" t="s">
        <v>341</v>
      </c>
      <c r="J185" s="4" t="s">
        <v>341</v>
      </c>
      <c r="K185" s="6"/>
      <c r="L185" s="6">
        <v>4796.05</v>
      </c>
      <c r="M185" s="6">
        <f t="shared" si="3"/>
        <v>-234348.03</v>
      </c>
      <c r="N185" s="4" t="s">
        <v>64</v>
      </c>
      <c r="O185" s="4" t="s">
        <v>92</v>
      </c>
      <c r="P185" s="4" t="s">
        <v>66</v>
      </c>
      <c r="Q185" s="4"/>
      <c r="R185" s="4" t="s">
        <v>0</v>
      </c>
      <c r="S185" s="4"/>
    </row>
    <row r="186" spans="1:19" x14ac:dyDescent="0.2">
      <c r="A186" s="17"/>
      <c r="B186" s="4" t="s">
        <v>45</v>
      </c>
      <c r="C186" s="4" t="s">
        <v>118</v>
      </c>
      <c r="D186" s="4" t="s">
        <v>119</v>
      </c>
      <c r="E186" s="5">
        <v>45016</v>
      </c>
      <c r="F186" s="4" t="s">
        <v>342</v>
      </c>
      <c r="G186" s="4"/>
      <c r="H186" s="4"/>
      <c r="I186" s="4" t="s">
        <v>343</v>
      </c>
      <c r="J186" s="4" t="s">
        <v>343</v>
      </c>
      <c r="K186" s="6"/>
      <c r="L186" s="6">
        <v>3458.78</v>
      </c>
      <c r="M186" s="6">
        <f t="shared" si="3"/>
        <v>-237806.81</v>
      </c>
      <c r="N186" s="4" t="s">
        <v>64</v>
      </c>
      <c r="O186" s="4" t="s">
        <v>92</v>
      </c>
      <c r="P186" s="4" t="s">
        <v>66</v>
      </c>
      <c r="Q186" s="4"/>
      <c r="R186" s="4" t="s">
        <v>0</v>
      </c>
      <c r="S186" s="4"/>
    </row>
    <row r="187" spans="1:19" x14ac:dyDescent="0.2">
      <c r="A187" s="17"/>
      <c r="B187" s="4" t="s">
        <v>45</v>
      </c>
      <c r="C187" s="4" t="s">
        <v>118</v>
      </c>
      <c r="D187" s="4" t="s">
        <v>119</v>
      </c>
      <c r="E187" s="5">
        <v>45016</v>
      </c>
      <c r="F187" s="4" t="s">
        <v>344</v>
      </c>
      <c r="G187" s="4"/>
      <c r="H187" s="4"/>
      <c r="I187" s="4" t="s">
        <v>345</v>
      </c>
      <c r="J187" s="4" t="s">
        <v>121</v>
      </c>
      <c r="K187" s="6"/>
      <c r="L187" s="6">
        <v>160</v>
      </c>
      <c r="M187" s="6">
        <f t="shared" si="3"/>
        <v>-237966.81</v>
      </c>
      <c r="N187" s="4" t="s">
        <v>64</v>
      </c>
      <c r="O187" s="4" t="s">
        <v>65</v>
      </c>
      <c r="P187" s="4" t="s">
        <v>66</v>
      </c>
      <c r="Q187" s="4"/>
      <c r="R187" s="4" t="s">
        <v>0</v>
      </c>
      <c r="S187" s="4"/>
    </row>
    <row r="188" spans="1:19" x14ac:dyDescent="0.2">
      <c r="A188" s="17"/>
      <c r="B188" s="4" t="s">
        <v>45</v>
      </c>
      <c r="C188" s="4" t="s">
        <v>118</v>
      </c>
      <c r="D188" s="4" t="s">
        <v>119</v>
      </c>
      <c r="E188" s="5">
        <v>45016</v>
      </c>
      <c r="F188" s="4" t="s">
        <v>346</v>
      </c>
      <c r="G188" s="4"/>
      <c r="H188" s="4"/>
      <c r="I188" s="4" t="s">
        <v>347</v>
      </c>
      <c r="J188" s="4" t="s">
        <v>347</v>
      </c>
      <c r="K188" s="6">
        <v>33627.5</v>
      </c>
      <c r="L188" s="6"/>
      <c r="M188" s="6">
        <f t="shared" si="3"/>
        <v>-204339.31</v>
      </c>
      <c r="N188" s="4" t="s">
        <v>64</v>
      </c>
      <c r="O188" s="4" t="s">
        <v>92</v>
      </c>
      <c r="P188" s="4" t="s">
        <v>66</v>
      </c>
      <c r="Q188" s="4"/>
      <c r="R188" s="4" t="s">
        <v>0</v>
      </c>
      <c r="S188" s="4"/>
    </row>
    <row r="189" spans="1:19" x14ac:dyDescent="0.2">
      <c r="A189" s="17"/>
      <c r="B189" s="4" t="s">
        <v>45</v>
      </c>
      <c r="C189" s="4" t="s">
        <v>118</v>
      </c>
      <c r="D189" s="4" t="s">
        <v>119</v>
      </c>
      <c r="E189" s="5">
        <v>45016</v>
      </c>
      <c r="F189" s="4" t="s">
        <v>348</v>
      </c>
      <c r="G189" s="4"/>
      <c r="H189" s="4"/>
      <c r="I189" s="4" t="s">
        <v>349</v>
      </c>
      <c r="J189" s="4" t="s">
        <v>349</v>
      </c>
      <c r="K189" s="6"/>
      <c r="L189" s="6">
        <v>378</v>
      </c>
      <c r="M189" s="6">
        <f t="shared" si="3"/>
        <v>-204717.31</v>
      </c>
      <c r="N189" s="4" t="s">
        <v>64</v>
      </c>
      <c r="O189" s="4" t="s">
        <v>65</v>
      </c>
      <c r="P189" s="4" t="s">
        <v>66</v>
      </c>
      <c r="Q189" s="4"/>
      <c r="R189" s="4" t="s">
        <v>0</v>
      </c>
      <c r="S189" s="4"/>
    </row>
    <row r="190" spans="1:19" x14ac:dyDescent="0.2">
      <c r="A190" s="17"/>
      <c r="B190" s="4" t="s">
        <v>45</v>
      </c>
      <c r="C190" s="4" t="s">
        <v>118</v>
      </c>
      <c r="D190" s="4" t="s">
        <v>119</v>
      </c>
      <c r="E190" s="5">
        <v>45017</v>
      </c>
      <c r="F190" s="4" t="s">
        <v>350</v>
      </c>
      <c r="G190" s="4"/>
      <c r="H190" s="4"/>
      <c r="I190" s="4" t="s">
        <v>351</v>
      </c>
      <c r="J190" s="4" t="s">
        <v>351</v>
      </c>
      <c r="K190" s="6"/>
      <c r="L190" s="6">
        <v>4462.5</v>
      </c>
      <c r="M190" s="6">
        <f t="shared" si="3"/>
        <v>-209179.81</v>
      </c>
      <c r="N190" s="4" t="s">
        <v>64</v>
      </c>
      <c r="O190" s="4" t="s">
        <v>92</v>
      </c>
      <c r="P190" s="4" t="s">
        <v>66</v>
      </c>
      <c r="Q190" s="4"/>
      <c r="R190" s="4" t="s">
        <v>0</v>
      </c>
      <c r="S190" s="4"/>
    </row>
    <row r="191" spans="1:19" x14ac:dyDescent="0.2">
      <c r="A191" s="17"/>
      <c r="B191" s="4" t="s">
        <v>45</v>
      </c>
      <c r="C191" s="4" t="s">
        <v>118</v>
      </c>
      <c r="D191" s="4" t="s">
        <v>119</v>
      </c>
      <c r="E191" s="5">
        <v>45017</v>
      </c>
      <c r="F191" s="4" t="s">
        <v>352</v>
      </c>
      <c r="G191" s="4"/>
      <c r="H191" s="4"/>
      <c r="I191" s="4" t="s">
        <v>353</v>
      </c>
      <c r="J191" s="4" t="s">
        <v>353</v>
      </c>
      <c r="K191" s="6"/>
      <c r="L191" s="6">
        <v>8919.75</v>
      </c>
      <c r="M191" s="6">
        <f t="shared" si="3"/>
        <v>-218099.56</v>
      </c>
      <c r="N191" s="4" t="s">
        <v>64</v>
      </c>
      <c r="O191" s="4" t="s">
        <v>92</v>
      </c>
      <c r="P191" s="4" t="s">
        <v>66</v>
      </c>
      <c r="Q191" s="4"/>
      <c r="R191" s="4" t="s">
        <v>0</v>
      </c>
      <c r="S191" s="4"/>
    </row>
    <row r="192" spans="1:19" x14ac:dyDescent="0.2">
      <c r="A192" s="17"/>
      <c r="B192" s="4" t="s">
        <v>45</v>
      </c>
      <c r="C192" s="4" t="s">
        <v>118</v>
      </c>
      <c r="D192" s="4" t="s">
        <v>119</v>
      </c>
      <c r="E192" s="5">
        <v>45019</v>
      </c>
      <c r="F192" s="4" t="s">
        <v>354</v>
      </c>
      <c r="G192" s="4"/>
      <c r="H192" s="4"/>
      <c r="I192" s="4" t="s">
        <v>355</v>
      </c>
      <c r="J192" s="4" t="s">
        <v>355</v>
      </c>
      <c r="K192" s="6">
        <v>75705</v>
      </c>
      <c r="L192" s="6"/>
      <c r="M192" s="6">
        <f t="shared" si="3"/>
        <v>-142394.56</v>
      </c>
      <c r="N192" s="4" t="s">
        <v>64</v>
      </c>
      <c r="O192" s="4" t="s">
        <v>65</v>
      </c>
      <c r="P192" s="4" t="s">
        <v>66</v>
      </c>
      <c r="Q192" s="4"/>
      <c r="R192" s="4" t="s">
        <v>0</v>
      </c>
      <c r="S192" s="4"/>
    </row>
    <row r="193" spans="1:19" x14ac:dyDescent="0.2">
      <c r="A193" s="17"/>
      <c r="B193" s="4" t="s">
        <v>45</v>
      </c>
      <c r="C193" s="4" t="s">
        <v>118</v>
      </c>
      <c r="D193" s="4" t="s">
        <v>119</v>
      </c>
      <c r="E193" s="5">
        <v>45020</v>
      </c>
      <c r="F193" s="4" t="s">
        <v>356</v>
      </c>
      <c r="G193" s="4"/>
      <c r="H193" s="4"/>
      <c r="I193" s="4" t="s">
        <v>357</v>
      </c>
      <c r="J193" s="4" t="s">
        <v>357</v>
      </c>
      <c r="K193" s="6">
        <v>1050</v>
      </c>
      <c r="L193" s="6"/>
      <c r="M193" s="6">
        <f t="shared" si="3"/>
        <v>-141344.56</v>
      </c>
      <c r="N193" s="4" t="s">
        <v>64</v>
      </c>
      <c r="O193" s="4" t="s">
        <v>92</v>
      </c>
      <c r="P193" s="4" t="s">
        <v>66</v>
      </c>
      <c r="Q193" s="4"/>
      <c r="R193" s="4" t="s">
        <v>0</v>
      </c>
      <c r="S193" s="4"/>
    </row>
    <row r="194" spans="1:19" x14ac:dyDescent="0.2">
      <c r="A194" s="17"/>
      <c r="B194" s="4" t="s">
        <v>45</v>
      </c>
      <c r="C194" s="4" t="s">
        <v>118</v>
      </c>
      <c r="D194" s="4" t="s">
        <v>119</v>
      </c>
      <c r="E194" s="5">
        <v>45022</v>
      </c>
      <c r="F194" s="4" t="s">
        <v>358</v>
      </c>
      <c r="G194" s="4"/>
      <c r="H194" s="4"/>
      <c r="I194" s="4" t="s">
        <v>359</v>
      </c>
      <c r="J194" s="4" t="s">
        <v>360</v>
      </c>
      <c r="K194" s="6"/>
      <c r="L194" s="6">
        <v>2394</v>
      </c>
      <c r="M194" s="6">
        <f t="shared" si="3"/>
        <v>-143738.56</v>
      </c>
      <c r="N194" s="4" t="s">
        <v>64</v>
      </c>
      <c r="O194" s="4" t="s">
        <v>65</v>
      </c>
      <c r="P194" s="4" t="s">
        <v>66</v>
      </c>
      <c r="Q194" s="4"/>
      <c r="R194" s="4" t="s">
        <v>0</v>
      </c>
      <c r="S194" s="4"/>
    </row>
    <row r="195" spans="1:19" x14ac:dyDescent="0.2">
      <c r="A195" s="17"/>
      <c r="B195" s="4" t="s">
        <v>45</v>
      </c>
      <c r="C195" s="4" t="s">
        <v>118</v>
      </c>
      <c r="D195" s="4" t="s">
        <v>119</v>
      </c>
      <c r="E195" s="5">
        <v>45022</v>
      </c>
      <c r="F195" s="4" t="s">
        <v>361</v>
      </c>
      <c r="G195" s="4"/>
      <c r="H195" s="4"/>
      <c r="I195" s="4" t="s">
        <v>362</v>
      </c>
      <c r="J195" s="4" t="s">
        <v>362</v>
      </c>
      <c r="K195" s="6"/>
      <c r="L195" s="6">
        <v>12063</v>
      </c>
      <c r="M195" s="6">
        <f t="shared" si="3"/>
        <v>-155801.56</v>
      </c>
      <c r="N195" s="4" t="s">
        <v>64</v>
      </c>
      <c r="O195" s="4" t="s">
        <v>92</v>
      </c>
      <c r="P195" s="4" t="s">
        <v>66</v>
      </c>
      <c r="Q195" s="4"/>
      <c r="R195" s="4" t="s">
        <v>0</v>
      </c>
      <c r="S195" s="4"/>
    </row>
    <row r="196" spans="1:19" x14ac:dyDescent="0.2">
      <c r="A196" s="17"/>
      <c r="B196" s="4" t="s">
        <v>45</v>
      </c>
      <c r="C196" s="4" t="s">
        <v>118</v>
      </c>
      <c r="D196" s="4" t="s">
        <v>119</v>
      </c>
      <c r="E196" s="5">
        <v>45022</v>
      </c>
      <c r="F196" s="4" t="s">
        <v>363</v>
      </c>
      <c r="G196" s="4"/>
      <c r="H196" s="4"/>
      <c r="I196" s="4" t="s">
        <v>364</v>
      </c>
      <c r="J196" s="4" t="s">
        <v>365</v>
      </c>
      <c r="K196" s="6"/>
      <c r="L196" s="6">
        <v>5745</v>
      </c>
      <c r="M196" s="6">
        <f t="shared" si="3"/>
        <v>-161546.56</v>
      </c>
      <c r="N196" s="4" t="s">
        <v>64</v>
      </c>
      <c r="O196" s="4" t="s">
        <v>92</v>
      </c>
      <c r="P196" s="4" t="s">
        <v>66</v>
      </c>
      <c r="Q196" s="4"/>
      <c r="R196" s="4" t="s">
        <v>0</v>
      </c>
      <c r="S196" s="4"/>
    </row>
    <row r="197" spans="1:19" x14ac:dyDescent="0.2">
      <c r="A197" s="17"/>
      <c r="B197" s="4" t="s">
        <v>45</v>
      </c>
      <c r="C197" s="4" t="s">
        <v>118</v>
      </c>
      <c r="D197" s="4" t="s">
        <v>119</v>
      </c>
      <c r="E197" s="5">
        <v>45022</v>
      </c>
      <c r="F197" s="4" t="s">
        <v>366</v>
      </c>
      <c r="G197" s="4"/>
      <c r="H197" s="4"/>
      <c r="I197" s="4" t="s">
        <v>367</v>
      </c>
      <c r="J197" s="4" t="s">
        <v>367</v>
      </c>
      <c r="K197" s="6"/>
      <c r="L197" s="6">
        <v>100</v>
      </c>
      <c r="M197" s="6">
        <f t="shared" si="3"/>
        <v>-161646.56</v>
      </c>
      <c r="N197" s="4" t="s">
        <v>64</v>
      </c>
      <c r="O197" s="4" t="s">
        <v>65</v>
      </c>
      <c r="P197" s="4" t="s">
        <v>66</v>
      </c>
      <c r="Q197" s="4"/>
      <c r="R197" s="4" t="s">
        <v>0</v>
      </c>
      <c r="S197" s="4"/>
    </row>
    <row r="198" spans="1:19" x14ac:dyDescent="0.2">
      <c r="A198" s="17"/>
      <c r="B198" s="4" t="s">
        <v>45</v>
      </c>
      <c r="C198" s="4" t="s">
        <v>118</v>
      </c>
      <c r="D198" s="4" t="s">
        <v>119</v>
      </c>
      <c r="E198" s="5">
        <v>45022</v>
      </c>
      <c r="F198" s="4" t="s">
        <v>368</v>
      </c>
      <c r="G198" s="4"/>
      <c r="H198" s="4"/>
      <c r="I198" s="4" t="s">
        <v>123</v>
      </c>
      <c r="J198" s="4" t="s">
        <v>123</v>
      </c>
      <c r="K198" s="6"/>
      <c r="L198" s="6">
        <v>5</v>
      </c>
      <c r="M198" s="6">
        <f t="shared" si="3"/>
        <v>-161651.56</v>
      </c>
      <c r="N198" s="4" t="s">
        <v>64</v>
      </c>
      <c r="O198" s="4" t="s">
        <v>65</v>
      </c>
      <c r="P198" s="4" t="s">
        <v>66</v>
      </c>
      <c r="Q198" s="4"/>
      <c r="R198" s="4" t="s">
        <v>0</v>
      </c>
      <c r="S198" s="4"/>
    </row>
    <row r="199" spans="1:19" x14ac:dyDescent="0.2">
      <c r="A199" s="17"/>
      <c r="B199" s="4" t="s">
        <v>45</v>
      </c>
      <c r="C199" s="4" t="s">
        <v>118</v>
      </c>
      <c r="D199" s="4" t="s">
        <v>119</v>
      </c>
      <c r="E199" s="5">
        <v>45023</v>
      </c>
      <c r="F199" s="4" t="s">
        <v>369</v>
      </c>
      <c r="G199" s="4"/>
      <c r="H199" s="4"/>
      <c r="I199" s="4" t="s">
        <v>370</v>
      </c>
      <c r="J199" s="4" t="s">
        <v>370</v>
      </c>
      <c r="K199" s="6"/>
      <c r="L199" s="6">
        <v>23634</v>
      </c>
      <c r="M199" s="6">
        <f t="shared" si="3"/>
        <v>-185285.56</v>
      </c>
      <c r="N199" s="4" t="s">
        <v>64</v>
      </c>
      <c r="O199" s="4" t="s">
        <v>65</v>
      </c>
      <c r="P199" s="4" t="s">
        <v>66</v>
      </c>
      <c r="Q199" s="4"/>
      <c r="R199" s="4" t="s">
        <v>0</v>
      </c>
      <c r="S199" s="4"/>
    </row>
    <row r="200" spans="1:19" x14ac:dyDescent="0.2">
      <c r="A200" s="17"/>
      <c r="B200" s="4" t="s">
        <v>45</v>
      </c>
      <c r="C200" s="4" t="s">
        <v>118</v>
      </c>
      <c r="D200" s="4" t="s">
        <v>119</v>
      </c>
      <c r="E200" s="5">
        <v>45024</v>
      </c>
      <c r="F200" s="4" t="s">
        <v>371</v>
      </c>
      <c r="G200" s="4"/>
      <c r="H200" s="4"/>
      <c r="I200" s="4" t="s">
        <v>372</v>
      </c>
      <c r="J200" s="4" t="s">
        <v>372</v>
      </c>
      <c r="K200" s="6"/>
      <c r="L200" s="6">
        <v>3360</v>
      </c>
      <c r="M200" s="6">
        <f t="shared" si="3"/>
        <v>-188645.56</v>
      </c>
      <c r="N200" s="4" t="s">
        <v>64</v>
      </c>
      <c r="O200" s="4" t="s">
        <v>92</v>
      </c>
      <c r="P200" s="4" t="s">
        <v>66</v>
      </c>
      <c r="Q200" s="4"/>
      <c r="R200" s="4" t="s">
        <v>0</v>
      </c>
      <c r="S200" s="4"/>
    </row>
    <row r="201" spans="1:19" x14ac:dyDescent="0.2">
      <c r="A201" s="17"/>
      <c r="B201" s="4" t="s">
        <v>45</v>
      </c>
      <c r="C201" s="4" t="s">
        <v>118</v>
      </c>
      <c r="D201" s="4" t="s">
        <v>119</v>
      </c>
      <c r="E201" s="5">
        <v>45027</v>
      </c>
      <c r="F201" s="4" t="s">
        <v>373</v>
      </c>
      <c r="G201" s="4"/>
      <c r="H201" s="4"/>
      <c r="I201" s="4" t="s">
        <v>374</v>
      </c>
      <c r="J201" s="4" t="s">
        <v>374</v>
      </c>
      <c r="K201" s="6">
        <v>11591</v>
      </c>
      <c r="L201" s="6"/>
      <c r="M201" s="6">
        <f t="shared" si="3"/>
        <v>-177054.56</v>
      </c>
      <c r="N201" s="4" t="s">
        <v>64</v>
      </c>
      <c r="O201" s="4" t="s">
        <v>65</v>
      </c>
      <c r="P201" s="4" t="s">
        <v>66</v>
      </c>
      <c r="Q201" s="4"/>
      <c r="R201" s="4" t="s">
        <v>0</v>
      </c>
      <c r="S201" s="4"/>
    </row>
    <row r="202" spans="1:19" x14ac:dyDescent="0.2">
      <c r="A202" s="17"/>
      <c r="B202" s="4" t="s">
        <v>45</v>
      </c>
      <c r="C202" s="4" t="s">
        <v>118</v>
      </c>
      <c r="D202" s="4" t="s">
        <v>119</v>
      </c>
      <c r="E202" s="5">
        <v>45028</v>
      </c>
      <c r="F202" s="4" t="s">
        <v>375</v>
      </c>
      <c r="G202" s="4"/>
      <c r="H202" s="4"/>
      <c r="I202" s="4" t="s">
        <v>376</v>
      </c>
      <c r="J202" s="4" t="s">
        <v>376</v>
      </c>
      <c r="K202" s="6"/>
      <c r="L202" s="6">
        <v>16813.75</v>
      </c>
      <c r="M202" s="6">
        <f t="shared" si="3"/>
        <v>-193868.31</v>
      </c>
      <c r="N202" s="4" t="s">
        <v>64</v>
      </c>
      <c r="O202" s="4" t="s">
        <v>92</v>
      </c>
      <c r="P202" s="4" t="s">
        <v>66</v>
      </c>
      <c r="Q202" s="4"/>
      <c r="R202" s="4" t="s">
        <v>0</v>
      </c>
      <c r="S202" s="4"/>
    </row>
    <row r="203" spans="1:19" x14ac:dyDescent="0.2">
      <c r="A203" s="17"/>
      <c r="B203" s="4" t="s">
        <v>45</v>
      </c>
      <c r="C203" s="4" t="s">
        <v>118</v>
      </c>
      <c r="D203" s="4" t="s">
        <v>119</v>
      </c>
      <c r="E203" s="5">
        <v>45028</v>
      </c>
      <c r="F203" s="4" t="s">
        <v>377</v>
      </c>
      <c r="G203" s="4"/>
      <c r="H203" s="4"/>
      <c r="I203" s="4" t="s">
        <v>378</v>
      </c>
      <c r="J203" s="4" t="s">
        <v>378</v>
      </c>
      <c r="K203" s="6"/>
      <c r="L203" s="6">
        <v>23620</v>
      </c>
      <c r="M203" s="6">
        <f t="shared" si="3"/>
        <v>-217488.31</v>
      </c>
      <c r="N203" s="4" t="s">
        <v>64</v>
      </c>
      <c r="O203" s="4" t="s">
        <v>65</v>
      </c>
      <c r="P203" s="4" t="s">
        <v>66</v>
      </c>
      <c r="Q203" s="4"/>
      <c r="R203" s="4" t="s">
        <v>0</v>
      </c>
      <c r="S203" s="4"/>
    </row>
    <row r="204" spans="1:19" x14ac:dyDescent="0.2">
      <c r="A204" s="17"/>
      <c r="B204" s="4" t="s">
        <v>45</v>
      </c>
      <c r="C204" s="4" t="s">
        <v>118</v>
      </c>
      <c r="D204" s="4" t="s">
        <v>119</v>
      </c>
      <c r="E204" s="5">
        <v>45029</v>
      </c>
      <c r="F204" s="4" t="s">
        <v>379</v>
      </c>
      <c r="G204" s="4"/>
      <c r="H204" s="4"/>
      <c r="I204" s="4" t="s">
        <v>380</v>
      </c>
      <c r="J204" s="4" t="s">
        <v>380</v>
      </c>
      <c r="K204" s="6"/>
      <c r="L204" s="6">
        <v>29847</v>
      </c>
      <c r="M204" s="6">
        <f t="shared" ref="M204:M267" si="4">M203+K204-L204</f>
        <v>-247335.31</v>
      </c>
      <c r="N204" s="4" t="s">
        <v>64</v>
      </c>
      <c r="O204" s="4" t="s">
        <v>65</v>
      </c>
      <c r="P204" s="4" t="s">
        <v>66</v>
      </c>
      <c r="Q204" s="4"/>
      <c r="R204" s="4" t="s">
        <v>0</v>
      </c>
      <c r="S204" s="4"/>
    </row>
    <row r="205" spans="1:19" x14ac:dyDescent="0.2">
      <c r="A205" s="17"/>
      <c r="B205" s="4" t="s">
        <v>45</v>
      </c>
      <c r="C205" s="4" t="s">
        <v>118</v>
      </c>
      <c r="D205" s="4" t="s">
        <v>119</v>
      </c>
      <c r="E205" s="5">
        <v>45031</v>
      </c>
      <c r="F205" s="4" t="s">
        <v>381</v>
      </c>
      <c r="G205" s="4"/>
      <c r="H205" s="4"/>
      <c r="I205" s="4" t="s">
        <v>382</v>
      </c>
      <c r="J205" s="4" t="s">
        <v>382</v>
      </c>
      <c r="K205" s="6"/>
      <c r="L205" s="6">
        <v>5000</v>
      </c>
      <c r="M205" s="6">
        <f t="shared" si="4"/>
        <v>-252335.31</v>
      </c>
      <c r="N205" s="4" t="s">
        <v>64</v>
      </c>
      <c r="O205" s="4" t="s">
        <v>92</v>
      </c>
      <c r="P205" s="4" t="s">
        <v>66</v>
      </c>
      <c r="Q205" s="4"/>
      <c r="R205" s="4" t="s">
        <v>0</v>
      </c>
      <c r="S205" s="4"/>
    </row>
    <row r="206" spans="1:19" x14ac:dyDescent="0.2">
      <c r="A206" s="17"/>
      <c r="B206" s="4" t="s">
        <v>45</v>
      </c>
      <c r="C206" s="4" t="s">
        <v>118</v>
      </c>
      <c r="D206" s="4" t="s">
        <v>119</v>
      </c>
      <c r="E206" s="5">
        <v>45040</v>
      </c>
      <c r="F206" s="4" t="s">
        <v>383</v>
      </c>
      <c r="G206" s="4"/>
      <c r="H206" s="4"/>
      <c r="I206" s="4" t="s">
        <v>384</v>
      </c>
      <c r="J206" s="4" t="s">
        <v>385</v>
      </c>
      <c r="K206" s="6"/>
      <c r="L206" s="6">
        <v>28682.9</v>
      </c>
      <c r="M206" s="6">
        <f t="shared" si="4"/>
        <v>-281018.21000000002</v>
      </c>
      <c r="N206" s="4" t="s">
        <v>64</v>
      </c>
      <c r="O206" s="4" t="s">
        <v>65</v>
      </c>
      <c r="P206" s="4" t="s">
        <v>66</v>
      </c>
      <c r="Q206" s="4"/>
      <c r="R206" s="4" t="s">
        <v>0</v>
      </c>
      <c r="S206" s="4"/>
    </row>
    <row r="207" spans="1:19" x14ac:dyDescent="0.2">
      <c r="A207" s="17"/>
      <c r="B207" s="4" t="s">
        <v>45</v>
      </c>
      <c r="C207" s="4" t="s">
        <v>118</v>
      </c>
      <c r="D207" s="4" t="s">
        <v>119</v>
      </c>
      <c r="E207" s="5">
        <v>45041</v>
      </c>
      <c r="F207" s="4" t="s">
        <v>386</v>
      </c>
      <c r="G207" s="4"/>
      <c r="H207" s="4"/>
      <c r="I207" s="4" t="s">
        <v>387</v>
      </c>
      <c r="J207" s="4" t="s">
        <v>387</v>
      </c>
      <c r="K207" s="6"/>
      <c r="L207" s="6">
        <v>280</v>
      </c>
      <c r="M207" s="6">
        <f t="shared" si="4"/>
        <v>-281298.21000000002</v>
      </c>
      <c r="N207" s="4" t="s">
        <v>64</v>
      </c>
      <c r="O207" s="4" t="s">
        <v>92</v>
      </c>
      <c r="P207" s="4" t="s">
        <v>66</v>
      </c>
      <c r="Q207" s="4"/>
      <c r="R207" s="4" t="s">
        <v>0</v>
      </c>
      <c r="S207" s="4"/>
    </row>
    <row r="208" spans="1:19" x14ac:dyDescent="0.2">
      <c r="A208" s="17"/>
      <c r="B208" s="4" t="s">
        <v>45</v>
      </c>
      <c r="C208" s="4" t="s">
        <v>118</v>
      </c>
      <c r="D208" s="4" t="s">
        <v>119</v>
      </c>
      <c r="E208" s="5">
        <v>45041</v>
      </c>
      <c r="F208" s="4" t="s">
        <v>388</v>
      </c>
      <c r="G208" s="4"/>
      <c r="H208" s="4"/>
      <c r="I208" s="4" t="s">
        <v>389</v>
      </c>
      <c r="J208" s="4" t="s">
        <v>389</v>
      </c>
      <c r="K208" s="6">
        <v>62008</v>
      </c>
      <c r="L208" s="6"/>
      <c r="M208" s="6">
        <f t="shared" si="4"/>
        <v>-219290.21000000002</v>
      </c>
      <c r="N208" s="4" t="s">
        <v>64</v>
      </c>
      <c r="O208" s="4" t="s">
        <v>92</v>
      </c>
      <c r="P208" s="4" t="s">
        <v>66</v>
      </c>
      <c r="Q208" s="4"/>
      <c r="R208" s="4" t="s">
        <v>0</v>
      </c>
      <c r="S208" s="4"/>
    </row>
    <row r="209" spans="1:19" x14ac:dyDescent="0.2">
      <c r="A209" s="17"/>
      <c r="B209" s="4" t="s">
        <v>45</v>
      </c>
      <c r="C209" s="4" t="s">
        <v>118</v>
      </c>
      <c r="D209" s="4" t="s">
        <v>119</v>
      </c>
      <c r="E209" s="5">
        <v>45042</v>
      </c>
      <c r="F209" s="4" t="s">
        <v>390</v>
      </c>
      <c r="G209" s="4"/>
      <c r="H209" s="4"/>
      <c r="I209" s="4" t="s">
        <v>391</v>
      </c>
      <c r="J209" s="4" t="s">
        <v>391</v>
      </c>
      <c r="K209" s="6"/>
      <c r="L209" s="6">
        <v>320</v>
      </c>
      <c r="M209" s="6">
        <f t="shared" si="4"/>
        <v>-219610.21000000002</v>
      </c>
      <c r="N209" s="4" t="s">
        <v>64</v>
      </c>
      <c r="O209" s="4" t="s">
        <v>92</v>
      </c>
      <c r="P209" s="4" t="s">
        <v>66</v>
      </c>
      <c r="Q209" s="4"/>
      <c r="R209" s="4" t="s">
        <v>0</v>
      </c>
      <c r="S209" s="4"/>
    </row>
    <row r="210" spans="1:19" x14ac:dyDescent="0.2">
      <c r="A210" s="17"/>
      <c r="B210" s="4" t="s">
        <v>45</v>
      </c>
      <c r="C210" s="4" t="s">
        <v>118</v>
      </c>
      <c r="D210" s="4" t="s">
        <v>119</v>
      </c>
      <c r="E210" s="5">
        <v>45042</v>
      </c>
      <c r="F210" s="4" t="s">
        <v>392</v>
      </c>
      <c r="G210" s="4"/>
      <c r="H210" s="4"/>
      <c r="I210" s="4" t="s">
        <v>393</v>
      </c>
      <c r="J210" s="4" t="s">
        <v>393</v>
      </c>
      <c r="K210" s="6"/>
      <c r="L210" s="6">
        <v>22250</v>
      </c>
      <c r="M210" s="6">
        <f t="shared" si="4"/>
        <v>-241860.21000000002</v>
      </c>
      <c r="N210" s="4" t="s">
        <v>64</v>
      </c>
      <c r="O210" s="4" t="s">
        <v>92</v>
      </c>
      <c r="P210" s="4" t="s">
        <v>66</v>
      </c>
      <c r="Q210" s="4"/>
      <c r="R210" s="4" t="s">
        <v>0</v>
      </c>
      <c r="S210" s="4"/>
    </row>
    <row r="211" spans="1:19" x14ac:dyDescent="0.2">
      <c r="A211" s="17"/>
      <c r="B211" s="4" t="s">
        <v>45</v>
      </c>
      <c r="C211" s="4" t="s">
        <v>118</v>
      </c>
      <c r="D211" s="4" t="s">
        <v>119</v>
      </c>
      <c r="E211" s="5">
        <v>45042</v>
      </c>
      <c r="F211" s="4" t="s">
        <v>394</v>
      </c>
      <c r="G211" s="4"/>
      <c r="H211" s="4"/>
      <c r="I211" s="4" t="s">
        <v>395</v>
      </c>
      <c r="J211" s="4" t="s">
        <v>395</v>
      </c>
      <c r="K211" s="6"/>
      <c r="L211" s="6">
        <v>23536</v>
      </c>
      <c r="M211" s="6">
        <f t="shared" si="4"/>
        <v>-265396.21000000002</v>
      </c>
      <c r="N211" s="4" t="s">
        <v>64</v>
      </c>
      <c r="O211" s="4" t="s">
        <v>92</v>
      </c>
      <c r="P211" s="4" t="s">
        <v>66</v>
      </c>
      <c r="Q211" s="4"/>
      <c r="R211" s="4" t="s">
        <v>0</v>
      </c>
      <c r="S211" s="4"/>
    </row>
    <row r="212" spans="1:19" x14ac:dyDescent="0.2">
      <c r="A212" s="17"/>
      <c r="B212" s="4" t="s">
        <v>45</v>
      </c>
      <c r="C212" s="4" t="s">
        <v>118</v>
      </c>
      <c r="D212" s="4" t="s">
        <v>119</v>
      </c>
      <c r="E212" s="5">
        <v>45051</v>
      </c>
      <c r="F212" s="4" t="s">
        <v>396</v>
      </c>
      <c r="G212" s="4"/>
      <c r="H212" s="4"/>
      <c r="I212" s="4" t="s">
        <v>397</v>
      </c>
      <c r="J212" s="4" t="s">
        <v>397</v>
      </c>
      <c r="K212" s="6">
        <v>6528</v>
      </c>
      <c r="L212" s="6"/>
      <c r="M212" s="6">
        <f t="shared" si="4"/>
        <v>-258868.21000000002</v>
      </c>
      <c r="N212" s="4" t="s">
        <v>64</v>
      </c>
      <c r="O212" s="4" t="s">
        <v>65</v>
      </c>
      <c r="P212" s="4" t="s">
        <v>66</v>
      </c>
      <c r="Q212" s="4"/>
      <c r="R212" s="4" t="s">
        <v>0</v>
      </c>
      <c r="S212" s="4"/>
    </row>
    <row r="213" spans="1:19" x14ac:dyDescent="0.2">
      <c r="A213" s="17"/>
      <c r="B213" s="4" t="s">
        <v>45</v>
      </c>
      <c r="C213" s="4" t="s">
        <v>118</v>
      </c>
      <c r="D213" s="4" t="s">
        <v>119</v>
      </c>
      <c r="E213" s="5">
        <v>45055</v>
      </c>
      <c r="F213" s="4" t="s">
        <v>398</v>
      </c>
      <c r="G213" s="4"/>
      <c r="H213" s="4"/>
      <c r="I213" s="4" t="s">
        <v>399</v>
      </c>
      <c r="J213" s="4" t="s">
        <v>399</v>
      </c>
      <c r="K213" s="6"/>
      <c r="L213" s="6">
        <v>5360</v>
      </c>
      <c r="M213" s="6">
        <f t="shared" si="4"/>
        <v>-264228.21000000002</v>
      </c>
      <c r="N213" s="4" t="s">
        <v>64</v>
      </c>
      <c r="O213" s="4" t="s">
        <v>92</v>
      </c>
      <c r="P213" s="4" t="s">
        <v>66</v>
      </c>
      <c r="Q213" s="4"/>
      <c r="R213" s="4" t="s">
        <v>0</v>
      </c>
      <c r="S213" s="4"/>
    </row>
    <row r="214" spans="1:19" x14ac:dyDescent="0.2">
      <c r="A214" s="17"/>
      <c r="B214" s="4" t="s">
        <v>45</v>
      </c>
      <c r="C214" s="4" t="s">
        <v>118</v>
      </c>
      <c r="D214" s="4" t="s">
        <v>119</v>
      </c>
      <c r="E214" s="5">
        <v>45057</v>
      </c>
      <c r="F214" s="4" t="s">
        <v>400</v>
      </c>
      <c r="G214" s="4"/>
      <c r="H214" s="4"/>
      <c r="I214" s="4" t="s">
        <v>401</v>
      </c>
      <c r="J214" s="4" t="s">
        <v>401</v>
      </c>
      <c r="K214" s="6"/>
      <c r="L214" s="6">
        <v>656</v>
      </c>
      <c r="M214" s="6">
        <f t="shared" si="4"/>
        <v>-264884.21000000002</v>
      </c>
      <c r="N214" s="4" t="s">
        <v>64</v>
      </c>
      <c r="O214" s="4" t="s">
        <v>92</v>
      </c>
      <c r="P214" s="4" t="s">
        <v>66</v>
      </c>
      <c r="Q214" s="4"/>
      <c r="R214" s="4" t="s">
        <v>0</v>
      </c>
      <c r="S214" s="4"/>
    </row>
    <row r="215" spans="1:19" x14ac:dyDescent="0.2">
      <c r="A215" s="17"/>
      <c r="B215" s="4" t="s">
        <v>45</v>
      </c>
      <c r="C215" s="4" t="s">
        <v>118</v>
      </c>
      <c r="D215" s="4" t="s">
        <v>119</v>
      </c>
      <c r="E215" s="5">
        <v>45058</v>
      </c>
      <c r="F215" s="4" t="s">
        <v>402</v>
      </c>
      <c r="G215" s="4"/>
      <c r="H215" s="4"/>
      <c r="I215" s="4" t="s">
        <v>403</v>
      </c>
      <c r="J215" s="4" t="s">
        <v>403</v>
      </c>
      <c r="K215" s="6"/>
      <c r="L215" s="6">
        <v>16813.75</v>
      </c>
      <c r="M215" s="6">
        <f t="shared" si="4"/>
        <v>-281697.96000000002</v>
      </c>
      <c r="N215" s="4" t="s">
        <v>64</v>
      </c>
      <c r="O215" s="4" t="s">
        <v>92</v>
      </c>
      <c r="P215" s="4" t="s">
        <v>66</v>
      </c>
      <c r="Q215" s="4"/>
      <c r="R215" s="4" t="s">
        <v>0</v>
      </c>
      <c r="S215" s="4"/>
    </row>
    <row r="216" spans="1:19" x14ac:dyDescent="0.2">
      <c r="A216" s="17"/>
      <c r="B216" s="4" t="s">
        <v>45</v>
      </c>
      <c r="C216" s="4" t="s">
        <v>118</v>
      </c>
      <c r="D216" s="4" t="s">
        <v>119</v>
      </c>
      <c r="E216" s="5">
        <v>45061</v>
      </c>
      <c r="F216" s="4" t="s">
        <v>404</v>
      </c>
      <c r="G216" s="4"/>
      <c r="H216" s="4"/>
      <c r="I216" s="4" t="s">
        <v>405</v>
      </c>
      <c r="J216" s="4" t="s">
        <v>405</v>
      </c>
      <c r="K216" s="6"/>
      <c r="L216" s="6">
        <v>6400</v>
      </c>
      <c r="M216" s="6">
        <f t="shared" si="4"/>
        <v>-288097.96000000002</v>
      </c>
      <c r="N216" s="4" t="s">
        <v>64</v>
      </c>
      <c r="O216" s="4" t="s">
        <v>65</v>
      </c>
      <c r="P216" s="4" t="s">
        <v>66</v>
      </c>
      <c r="Q216" s="4"/>
      <c r="R216" s="4" t="s">
        <v>0</v>
      </c>
      <c r="S216" s="4"/>
    </row>
    <row r="217" spans="1:19" x14ac:dyDescent="0.2">
      <c r="A217" s="17"/>
      <c r="B217" s="4" t="s">
        <v>45</v>
      </c>
      <c r="C217" s="4" t="s">
        <v>118</v>
      </c>
      <c r="D217" s="4" t="s">
        <v>119</v>
      </c>
      <c r="E217" s="5">
        <v>45061</v>
      </c>
      <c r="F217" s="4" t="s">
        <v>406</v>
      </c>
      <c r="G217" s="4"/>
      <c r="H217" s="4"/>
      <c r="I217" s="4" t="s">
        <v>407</v>
      </c>
      <c r="J217" s="4" t="s">
        <v>407</v>
      </c>
      <c r="K217" s="6"/>
      <c r="L217" s="6">
        <v>4000</v>
      </c>
      <c r="M217" s="6">
        <f t="shared" si="4"/>
        <v>-292097.96000000002</v>
      </c>
      <c r="N217" s="4" t="s">
        <v>64</v>
      </c>
      <c r="O217" s="4" t="s">
        <v>92</v>
      </c>
      <c r="P217" s="4" t="s">
        <v>66</v>
      </c>
      <c r="Q217" s="4"/>
      <c r="R217" s="4" t="s">
        <v>0</v>
      </c>
      <c r="S217" s="4"/>
    </row>
    <row r="218" spans="1:19" x14ac:dyDescent="0.2">
      <c r="A218" s="17"/>
      <c r="B218" s="4" t="s">
        <v>45</v>
      </c>
      <c r="C218" s="4" t="s">
        <v>118</v>
      </c>
      <c r="D218" s="4" t="s">
        <v>119</v>
      </c>
      <c r="E218" s="5">
        <v>45062</v>
      </c>
      <c r="F218" s="4" t="s">
        <v>408</v>
      </c>
      <c r="G218" s="4"/>
      <c r="H218" s="4"/>
      <c r="I218" s="4" t="s">
        <v>409</v>
      </c>
      <c r="J218" s="4" t="s">
        <v>409</v>
      </c>
      <c r="K218" s="6"/>
      <c r="L218" s="6">
        <v>3425</v>
      </c>
      <c r="M218" s="6">
        <f t="shared" si="4"/>
        <v>-295522.96000000002</v>
      </c>
      <c r="N218" s="4" t="s">
        <v>64</v>
      </c>
      <c r="O218" s="4" t="s">
        <v>65</v>
      </c>
      <c r="P218" s="4" t="s">
        <v>66</v>
      </c>
      <c r="Q218" s="4"/>
      <c r="R218" s="4" t="s">
        <v>0</v>
      </c>
      <c r="S218" s="4"/>
    </row>
    <row r="219" spans="1:19" x14ac:dyDescent="0.2">
      <c r="A219" s="17"/>
      <c r="B219" s="4" t="s">
        <v>410</v>
      </c>
      <c r="C219" s="4" t="s">
        <v>118</v>
      </c>
      <c r="D219" s="4" t="s">
        <v>119</v>
      </c>
      <c r="E219" s="5">
        <v>45062</v>
      </c>
      <c r="F219" s="4" t="s">
        <v>411</v>
      </c>
      <c r="G219" s="4" t="s">
        <v>412</v>
      </c>
      <c r="H219" s="4" t="s">
        <v>412</v>
      </c>
      <c r="I219" s="4" t="s">
        <v>413</v>
      </c>
      <c r="J219" s="4" t="s">
        <v>413</v>
      </c>
      <c r="K219" s="6">
        <v>18375</v>
      </c>
      <c r="L219" s="6"/>
      <c r="M219" s="6">
        <f t="shared" si="4"/>
        <v>-277147.96000000002</v>
      </c>
      <c r="N219" s="4" t="s">
        <v>64</v>
      </c>
      <c r="O219" s="4" t="s">
        <v>65</v>
      </c>
      <c r="P219" s="4" t="s">
        <v>66</v>
      </c>
      <c r="Q219" s="4" t="s">
        <v>414</v>
      </c>
      <c r="R219" s="4" t="s">
        <v>0</v>
      </c>
      <c r="S219" s="4" t="s">
        <v>415</v>
      </c>
    </row>
    <row r="220" spans="1:19" x14ac:dyDescent="0.2">
      <c r="A220" s="17"/>
      <c r="B220" s="4" t="s">
        <v>45</v>
      </c>
      <c r="C220" s="4" t="s">
        <v>118</v>
      </c>
      <c r="D220" s="4" t="s">
        <v>119</v>
      </c>
      <c r="E220" s="5">
        <v>45063</v>
      </c>
      <c r="F220" s="4" t="s">
        <v>416</v>
      </c>
      <c r="G220" s="4"/>
      <c r="H220" s="4"/>
      <c r="I220" s="4" t="s">
        <v>417</v>
      </c>
      <c r="J220" s="4" t="s">
        <v>417</v>
      </c>
      <c r="K220" s="6"/>
      <c r="L220" s="6">
        <v>3593</v>
      </c>
      <c r="M220" s="6">
        <f t="shared" si="4"/>
        <v>-280740.96000000002</v>
      </c>
      <c r="N220" s="4" t="s">
        <v>64</v>
      </c>
      <c r="O220" s="4" t="s">
        <v>92</v>
      </c>
      <c r="P220" s="4" t="s">
        <v>66</v>
      </c>
      <c r="Q220" s="4"/>
      <c r="R220" s="4" t="s">
        <v>0</v>
      </c>
      <c r="S220" s="4"/>
    </row>
    <row r="221" spans="1:19" x14ac:dyDescent="0.2">
      <c r="A221" s="17"/>
      <c r="B221" s="4" t="s">
        <v>45</v>
      </c>
      <c r="C221" s="4" t="s">
        <v>118</v>
      </c>
      <c r="D221" s="4" t="s">
        <v>119</v>
      </c>
      <c r="E221" s="5">
        <v>45063</v>
      </c>
      <c r="F221" s="4" t="s">
        <v>418</v>
      </c>
      <c r="G221" s="4"/>
      <c r="H221" s="4"/>
      <c r="I221" s="4" t="s">
        <v>419</v>
      </c>
      <c r="J221" s="4" t="s">
        <v>419</v>
      </c>
      <c r="K221" s="6">
        <v>20213</v>
      </c>
      <c r="L221" s="6"/>
      <c r="M221" s="6">
        <f t="shared" si="4"/>
        <v>-260527.96000000002</v>
      </c>
      <c r="N221" s="4" t="s">
        <v>64</v>
      </c>
      <c r="O221" s="4" t="s">
        <v>65</v>
      </c>
      <c r="P221" s="4" t="s">
        <v>66</v>
      </c>
      <c r="Q221" s="4"/>
      <c r="R221" s="4" t="s">
        <v>0</v>
      </c>
      <c r="S221" s="4"/>
    </row>
    <row r="222" spans="1:19" x14ac:dyDescent="0.2">
      <c r="A222" s="17"/>
      <c r="B222" s="4" t="s">
        <v>45</v>
      </c>
      <c r="C222" s="4" t="s">
        <v>118</v>
      </c>
      <c r="D222" s="4" t="s">
        <v>119</v>
      </c>
      <c r="E222" s="5">
        <v>45064</v>
      </c>
      <c r="F222" s="4" t="s">
        <v>420</v>
      </c>
      <c r="G222" s="4"/>
      <c r="H222" s="4"/>
      <c r="I222" s="4" t="s">
        <v>421</v>
      </c>
      <c r="J222" s="4" t="s">
        <v>421</v>
      </c>
      <c r="K222" s="6"/>
      <c r="L222" s="6">
        <v>15391</v>
      </c>
      <c r="M222" s="6">
        <f t="shared" si="4"/>
        <v>-275918.96000000002</v>
      </c>
      <c r="N222" s="4" t="s">
        <v>64</v>
      </c>
      <c r="O222" s="4" t="s">
        <v>92</v>
      </c>
      <c r="P222" s="4" t="s">
        <v>66</v>
      </c>
      <c r="Q222" s="4"/>
      <c r="R222" s="4" t="s">
        <v>0</v>
      </c>
      <c r="S222" s="4"/>
    </row>
    <row r="223" spans="1:19" x14ac:dyDescent="0.2">
      <c r="A223" s="17"/>
      <c r="B223" s="4" t="s">
        <v>45</v>
      </c>
      <c r="C223" s="4" t="s">
        <v>118</v>
      </c>
      <c r="D223" s="4" t="s">
        <v>119</v>
      </c>
      <c r="E223" s="5">
        <v>45065</v>
      </c>
      <c r="F223" s="4" t="s">
        <v>422</v>
      </c>
      <c r="G223" s="4"/>
      <c r="H223" s="4"/>
      <c r="I223" s="4" t="s">
        <v>423</v>
      </c>
      <c r="J223" s="4" t="s">
        <v>423</v>
      </c>
      <c r="K223" s="6"/>
      <c r="L223" s="6">
        <v>90987.5</v>
      </c>
      <c r="M223" s="6">
        <f t="shared" si="4"/>
        <v>-366906.46</v>
      </c>
      <c r="N223" s="4" t="s">
        <v>64</v>
      </c>
      <c r="O223" s="4" t="s">
        <v>92</v>
      </c>
      <c r="P223" s="4" t="s">
        <v>66</v>
      </c>
      <c r="Q223" s="4"/>
      <c r="R223" s="4" t="s">
        <v>0</v>
      </c>
      <c r="S223" s="4"/>
    </row>
    <row r="224" spans="1:19" x14ac:dyDescent="0.2">
      <c r="A224" s="17"/>
      <c r="B224" s="4" t="s">
        <v>45</v>
      </c>
      <c r="C224" s="4" t="s">
        <v>118</v>
      </c>
      <c r="D224" s="4" t="s">
        <v>119</v>
      </c>
      <c r="E224" s="5">
        <v>45065</v>
      </c>
      <c r="F224" s="4" t="s">
        <v>424</v>
      </c>
      <c r="G224" s="4"/>
      <c r="H224" s="4"/>
      <c r="I224" s="4" t="s">
        <v>425</v>
      </c>
      <c r="J224" s="4" t="s">
        <v>425</v>
      </c>
      <c r="K224" s="6"/>
      <c r="L224" s="6">
        <v>24150</v>
      </c>
      <c r="M224" s="6">
        <f t="shared" si="4"/>
        <v>-391056.46</v>
      </c>
      <c r="N224" s="4" t="s">
        <v>64</v>
      </c>
      <c r="O224" s="4" t="s">
        <v>92</v>
      </c>
      <c r="P224" s="4" t="s">
        <v>66</v>
      </c>
      <c r="Q224" s="4"/>
      <c r="R224" s="4" t="s">
        <v>0</v>
      </c>
      <c r="S224" s="4"/>
    </row>
    <row r="225" spans="1:19" x14ac:dyDescent="0.2">
      <c r="A225" s="17"/>
      <c r="B225" s="4" t="s">
        <v>45</v>
      </c>
      <c r="C225" s="4" t="s">
        <v>118</v>
      </c>
      <c r="D225" s="4" t="s">
        <v>119</v>
      </c>
      <c r="E225" s="5">
        <v>45070</v>
      </c>
      <c r="F225" s="4" t="s">
        <v>426</v>
      </c>
      <c r="G225" s="4"/>
      <c r="H225" s="4"/>
      <c r="I225" s="4" t="s">
        <v>427</v>
      </c>
      <c r="J225" s="4" t="s">
        <v>427</v>
      </c>
      <c r="K225" s="6"/>
      <c r="L225" s="6">
        <v>1625</v>
      </c>
      <c r="M225" s="6">
        <f t="shared" si="4"/>
        <v>-392681.46</v>
      </c>
      <c r="N225" s="4" t="s">
        <v>64</v>
      </c>
      <c r="O225" s="4" t="s">
        <v>92</v>
      </c>
      <c r="P225" s="4" t="s">
        <v>66</v>
      </c>
      <c r="Q225" s="4"/>
      <c r="R225" s="4" t="s">
        <v>0</v>
      </c>
      <c r="S225" s="4"/>
    </row>
    <row r="226" spans="1:19" x14ac:dyDescent="0.2">
      <c r="A226" s="17"/>
      <c r="B226" s="4" t="s">
        <v>45</v>
      </c>
      <c r="C226" s="4" t="s">
        <v>118</v>
      </c>
      <c r="D226" s="4" t="s">
        <v>119</v>
      </c>
      <c r="E226" s="5">
        <v>45072</v>
      </c>
      <c r="F226" s="4" t="s">
        <v>428</v>
      </c>
      <c r="G226" s="4"/>
      <c r="H226" s="4"/>
      <c r="I226" s="4" t="s">
        <v>429</v>
      </c>
      <c r="J226" s="4" t="s">
        <v>429</v>
      </c>
      <c r="K226" s="6"/>
      <c r="L226" s="6">
        <v>13131.6</v>
      </c>
      <c r="M226" s="6">
        <f t="shared" si="4"/>
        <v>-405813.06</v>
      </c>
      <c r="N226" s="4" t="s">
        <v>64</v>
      </c>
      <c r="O226" s="4" t="s">
        <v>92</v>
      </c>
      <c r="P226" s="4" t="s">
        <v>66</v>
      </c>
      <c r="Q226" s="4"/>
      <c r="R226" s="4" t="s">
        <v>0</v>
      </c>
      <c r="S226" s="4"/>
    </row>
    <row r="227" spans="1:19" x14ac:dyDescent="0.2">
      <c r="A227" s="17"/>
      <c r="B227" s="4" t="s">
        <v>45</v>
      </c>
      <c r="C227" s="4" t="s">
        <v>118</v>
      </c>
      <c r="D227" s="4" t="s">
        <v>119</v>
      </c>
      <c r="E227" s="5">
        <v>45072</v>
      </c>
      <c r="F227" s="4" t="s">
        <v>430</v>
      </c>
      <c r="G227" s="4"/>
      <c r="H227" s="4"/>
      <c r="I227" s="4" t="s">
        <v>431</v>
      </c>
      <c r="J227" s="4" t="s">
        <v>385</v>
      </c>
      <c r="K227" s="6"/>
      <c r="L227" s="6">
        <v>33731.9</v>
      </c>
      <c r="M227" s="6">
        <f t="shared" si="4"/>
        <v>-439544.96</v>
      </c>
      <c r="N227" s="4" t="s">
        <v>64</v>
      </c>
      <c r="O227" s="4" t="s">
        <v>65</v>
      </c>
      <c r="P227" s="4" t="s">
        <v>66</v>
      </c>
      <c r="Q227" s="4"/>
      <c r="R227" s="4" t="s">
        <v>0</v>
      </c>
      <c r="S227" s="4"/>
    </row>
    <row r="228" spans="1:19" x14ac:dyDescent="0.2">
      <c r="A228" s="17"/>
      <c r="B228" s="4" t="s">
        <v>45</v>
      </c>
      <c r="C228" s="4" t="s">
        <v>118</v>
      </c>
      <c r="D228" s="4" t="s">
        <v>119</v>
      </c>
      <c r="E228" s="5">
        <v>45075</v>
      </c>
      <c r="F228" s="4" t="s">
        <v>432</v>
      </c>
      <c r="G228" s="4"/>
      <c r="H228" s="4"/>
      <c r="I228" s="4" t="s">
        <v>433</v>
      </c>
      <c r="J228" s="4" t="s">
        <v>433</v>
      </c>
      <c r="K228" s="6"/>
      <c r="L228" s="6">
        <v>4000</v>
      </c>
      <c r="M228" s="6">
        <f t="shared" si="4"/>
        <v>-443544.96</v>
      </c>
      <c r="N228" s="4" t="s">
        <v>64</v>
      </c>
      <c r="O228" s="4" t="s">
        <v>92</v>
      </c>
      <c r="P228" s="4" t="s">
        <v>66</v>
      </c>
      <c r="Q228" s="4"/>
      <c r="R228" s="4" t="s">
        <v>0</v>
      </c>
      <c r="S228" s="4"/>
    </row>
    <row r="229" spans="1:19" x14ac:dyDescent="0.2">
      <c r="A229" s="17"/>
      <c r="B229" s="4" t="s">
        <v>45</v>
      </c>
      <c r="C229" s="4" t="s">
        <v>118</v>
      </c>
      <c r="D229" s="4" t="s">
        <v>119</v>
      </c>
      <c r="E229" s="5">
        <v>45075</v>
      </c>
      <c r="F229" s="4" t="s">
        <v>434</v>
      </c>
      <c r="G229" s="4"/>
      <c r="H229" s="4"/>
      <c r="I229" s="4" t="s">
        <v>435</v>
      </c>
      <c r="J229" s="4" t="s">
        <v>435</v>
      </c>
      <c r="K229" s="6">
        <v>11000</v>
      </c>
      <c r="L229" s="6"/>
      <c r="M229" s="6">
        <f t="shared" si="4"/>
        <v>-432544.96</v>
      </c>
      <c r="N229" s="4" t="s">
        <v>64</v>
      </c>
      <c r="O229" s="4" t="s">
        <v>92</v>
      </c>
      <c r="P229" s="4" t="s">
        <v>66</v>
      </c>
      <c r="Q229" s="4"/>
      <c r="R229" s="4" t="s">
        <v>0</v>
      </c>
      <c r="S229" s="4"/>
    </row>
    <row r="230" spans="1:19" x14ac:dyDescent="0.2">
      <c r="A230" s="17"/>
      <c r="B230" s="4" t="s">
        <v>45</v>
      </c>
      <c r="C230" s="4" t="s">
        <v>118</v>
      </c>
      <c r="D230" s="4" t="s">
        <v>119</v>
      </c>
      <c r="E230" s="5">
        <v>45075</v>
      </c>
      <c r="F230" s="4" t="s">
        <v>436</v>
      </c>
      <c r="G230" s="4"/>
      <c r="H230" s="4"/>
      <c r="I230" s="4" t="s">
        <v>437</v>
      </c>
      <c r="J230" s="4" t="s">
        <v>437</v>
      </c>
      <c r="K230" s="6">
        <v>4000</v>
      </c>
      <c r="L230" s="6"/>
      <c r="M230" s="6">
        <f t="shared" si="4"/>
        <v>-428544.96</v>
      </c>
      <c r="N230" s="4" t="s">
        <v>64</v>
      </c>
      <c r="O230" s="4" t="s">
        <v>92</v>
      </c>
      <c r="P230" s="4" t="s">
        <v>66</v>
      </c>
      <c r="Q230" s="4"/>
      <c r="R230" s="4" t="s">
        <v>0</v>
      </c>
      <c r="S230" s="4"/>
    </row>
    <row r="231" spans="1:19" x14ac:dyDescent="0.2">
      <c r="A231" s="17"/>
      <c r="B231" s="4" t="s">
        <v>45</v>
      </c>
      <c r="C231" s="4" t="s">
        <v>118</v>
      </c>
      <c r="D231" s="4" t="s">
        <v>119</v>
      </c>
      <c r="E231" s="5">
        <v>45075</v>
      </c>
      <c r="F231" s="4" t="s">
        <v>438</v>
      </c>
      <c r="G231" s="4"/>
      <c r="H231" s="4"/>
      <c r="I231" s="4" t="s">
        <v>439</v>
      </c>
      <c r="J231" s="4" t="s">
        <v>439</v>
      </c>
      <c r="K231" s="6"/>
      <c r="L231" s="6">
        <v>11000</v>
      </c>
      <c r="M231" s="6">
        <f t="shared" si="4"/>
        <v>-439544.96</v>
      </c>
      <c r="N231" s="4" t="s">
        <v>64</v>
      </c>
      <c r="O231" s="4" t="s">
        <v>92</v>
      </c>
      <c r="P231" s="4" t="s">
        <v>66</v>
      </c>
      <c r="Q231" s="4"/>
      <c r="R231" s="4" t="s">
        <v>0</v>
      </c>
      <c r="S231" s="4"/>
    </row>
    <row r="232" spans="1:19" x14ac:dyDescent="0.2">
      <c r="A232" s="17"/>
      <c r="B232" s="4" t="s">
        <v>45</v>
      </c>
      <c r="C232" s="4" t="s">
        <v>118</v>
      </c>
      <c r="D232" s="4" t="s">
        <v>119</v>
      </c>
      <c r="E232" s="5">
        <v>45076</v>
      </c>
      <c r="F232" s="4" t="s">
        <v>440</v>
      </c>
      <c r="G232" s="4"/>
      <c r="H232" s="4"/>
      <c r="I232" s="4" t="s">
        <v>441</v>
      </c>
      <c r="J232" s="4" t="s">
        <v>441</v>
      </c>
      <c r="K232" s="6">
        <v>27802</v>
      </c>
      <c r="L232" s="6"/>
      <c r="M232" s="6">
        <f t="shared" si="4"/>
        <v>-411742.96</v>
      </c>
      <c r="N232" s="4" t="s">
        <v>64</v>
      </c>
      <c r="O232" s="4" t="s">
        <v>65</v>
      </c>
      <c r="P232" s="4" t="s">
        <v>66</v>
      </c>
      <c r="Q232" s="4"/>
      <c r="R232" s="4" t="s">
        <v>0</v>
      </c>
      <c r="S232" s="4"/>
    </row>
    <row r="233" spans="1:19" x14ac:dyDescent="0.2">
      <c r="A233" s="17"/>
      <c r="B233" s="4" t="s">
        <v>45</v>
      </c>
      <c r="C233" s="4" t="s">
        <v>118</v>
      </c>
      <c r="D233" s="4" t="s">
        <v>119</v>
      </c>
      <c r="E233" s="5">
        <v>45076</v>
      </c>
      <c r="F233" s="4" t="s">
        <v>442</v>
      </c>
      <c r="G233" s="4"/>
      <c r="H233" s="4"/>
      <c r="I233" s="4" t="s">
        <v>443</v>
      </c>
      <c r="J233" s="4" t="s">
        <v>441</v>
      </c>
      <c r="K233" s="6">
        <v>55361</v>
      </c>
      <c r="L233" s="6"/>
      <c r="M233" s="6">
        <f t="shared" si="4"/>
        <v>-356381.96</v>
      </c>
      <c r="N233" s="4" t="s">
        <v>64</v>
      </c>
      <c r="O233" s="4" t="s">
        <v>65</v>
      </c>
      <c r="P233" s="4" t="s">
        <v>66</v>
      </c>
      <c r="Q233" s="4"/>
      <c r="R233" s="4" t="s">
        <v>0</v>
      </c>
      <c r="S233" s="4"/>
    </row>
    <row r="234" spans="1:19" x14ac:dyDescent="0.2">
      <c r="A234" s="17"/>
      <c r="B234" s="4" t="s">
        <v>45</v>
      </c>
      <c r="C234" s="4" t="s">
        <v>118</v>
      </c>
      <c r="D234" s="4" t="s">
        <v>119</v>
      </c>
      <c r="E234" s="5">
        <v>45077</v>
      </c>
      <c r="F234" s="4" t="s">
        <v>444</v>
      </c>
      <c r="G234" s="4"/>
      <c r="H234" s="4"/>
      <c r="I234" s="4" t="s">
        <v>445</v>
      </c>
      <c r="J234" s="4" t="s">
        <v>445</v>
      </c>
      <c r="K234" s="6"/>
      <c r="L234" s="6">
        <v>5250</v>
      </c>
      <c r="M234" s="6">
        <f t="shared" si="4"/>
        <v>-361631.96</v>
      </c>
      <c r="N234" s="4" t="s">
        <v>64</v>
      </c>
      <c r="O234" s="4" t="s">
        <v>92</v>
      </c>
      <c r="P234" s="4" t="s">
        <v>66</v>
      </c>
      <c r="Q234" s="4"/>
      <c r="R234" s="4" t="s">
        <v>0</v>
      </c>
      <c r="S234" s="4"/>
    </row>
    <row r="235" spans="1:19" x14ac:dyDescent="0.2">
      <c r="A235" s="17"/>
      <c r="B235" s="4" t="s">
        <v>410</v>
      </c>
      <c r="C235" s="4" t="s">
        <v>118</v>
      </c>
      <c r="D235" s="4" t="s">
        <v>119</v>
      </c>
      <c r="E235" s="5">
        <v>45077</v>
      </c>
      <c r="F235" s="4" t="s">
        <v>446</v>
      </c>
      <c r="G235" s="4" t="s">
        <v>447</v>
      </c>
      <c r="H235" s="4" t="s">
        <v>447</v>
      </c>
      <c r="I235" s="4" t="s">
        <v>448</v>
      </c>
      <c r="J235" s="4" t="s">
        <v>448</v>
      </c>
      <c r="K235" s="6">
        <v>7675.5</v>
      </c>
      <c r="L235" s="6"/>
      <c r="M235" s="6">
        <f t="shared" si="4"/>
        <v>-353956.46</v>
      </c>
      <c r="N235" s="4" t="s">
        <v>64</v>
      </c>
      <c r="O235" s="4" t="s">
        <v>65</v>
      </c>
      <c r="P235" s="4" t="s">
        <v>66</v>
      </c>
      <c r="Q235" s="4" t="s">
        <v>414</v>
      </c>
      <c r="R235" s="4" t="s">
        <v>0</v>
      </c>
      <c r="S235" s="4" t="s">
        <v>415</v>
      </c>
    </row>
    <row r="236" spans="1:19" x14ac:dyDescent="0.2">
      <c r="A236" s="17"/>
      <c r="B236" s="4" t="s">
        <v>45</v>
      </c>
      <c r="C236" s="4" t="s">
        <v>118</v>
      </c>
      <c r="D236" s="4" t="s">
        <v>119</v>
      </c>
      <c r="E236" s="5">
        <v>45077</v>
      </c>
      <c r="F236" s="4" t="s">
        <v>449</v>
      </c>
      <c r="G236" s="4"/>
      <c r="H236" s="4"/>
      <c r="I236" s="4" t="s">
        <v>450</v>
      </c>
      <c r="J236" s="4" t="s">
        <v>450</v>
      </c>
      <c r="K236" s="6">
        <v>5125</v>
      </c>
      <c r="L236" s="6"/>
      <c r="M236" s="6">
        <f t="shared" si="4"/>
        <v>-348831.46</v>
      </c>
      <c r="N236" s="4" t="s">
        <v>64</v>
      </c>
      <c r="O236" s="4" t="s">
        <v>92</v>
      </c>
      <c r="P236" s="4" t="s">
        <v>66</v>
      </c>
      <c r="Q236" s="4"/>
      <c r="R236" s="4" t="s">
        <v>0</v>
      </c>
      <c r="S236" s="4"/>
    </row>
    <row r="237" spans="1:19" x14ac:dyDescent="0.2">
      <c r="A237" s="17"/>
      <c r="B237" s="4" t="s">
        <v>45</v>
      </c>
      <c r="C237" s="4" t="s">
        <v>118</v>
      </c>
      <c r="D237" s="4" t="s">
        <v>119</v>
      </c>
      <c r="E237" s="5">
        <v>45077</v>
      </c>
      <c r="F237" s="4" t="s">
        <v>451</v>
      </c>
      <c r="G237" s="4"/>
      <c r="H237" s="4"/>
      <c r="I237" s="4" t="s">
        <v>452</v>
      </c>
      <c r="J237" s="4" t="s">
        <v>452</v>
      </c>
      <c r="K237" s="6"/>
      <c r="L237" s="6">
        <v>11.28</v>
      </c>
      <c r="M237" s="6">
        <f t="shared" si="4"/>
        <v>-348842.74000000005</v>
      </c>
      <c r="N237" s="4" t="s">
        <v>64</v>
      </c>
      <c r="O237" s="4" t="s">
        <v>65</v>
      </c>
      <c r="P237" s="4" t="s">
        <v>66</v>
      </c>
      <c r="Q237" s="4"/>
      <c r="R237" s="4" t="s">
        <v>0</v>
      </c>
      <c r="S237" s="4"/>
    </row>
    <row r="238" spans="1:19" x14ac:dyDescent="0.2">
      <c r="A238" s="17"/>
      <c r="B238" s="4" t="s">
        <v>45</v>
      </c>
      <c r="C238" s="4" t="s">
        <v>118</v>
      </c>
      <c r="D238" s="4" t="s">
        <v>119</v>
      </c>
      <c r="E238" s="5">
        <v>45077</v>
      </c>
      <c r="F238" s="4" t="s">
        <v>453</v>
      </c>
      <c r="G238" s="4"/>
      <c r="H238" s="4"/>
      <c r="I238" s="4" t="s">
        <v>454</v>
      </c>
      <c r="J238" s="4" t="s">
        <v>454</v>
      </c>
      <c r="K238" s="6"/>
      <c r="L238" s="6">
        <v>1061.6400000000001</v>
      </c>
      <c r="M238" s="6">
        <f t="shared" si="4"/>
        <v>-349904.38000000006</v>
      </c>
      <c r="N238" s="4" t="s">
        <v>64</v>
      </c>
      <c r="O238" s="4" t="s">
        <v>92</v>
      </c>
      <c r="P238" s="4" t="s">
        <v>66</v>
      </c>
      <c r="Q238" s="4"/>
      <c r="R238" s="4" t="s">
        <v>0</v>
      </c>
      <c r="S238" s="4"/>
    </row>
    <row r="239" spans="1:19" x14ac:dyDescent="0.2">
      <c r="A239" s="17"/>
      <c r="B239" s="4" t="s">
        <v>45</v>
      </c>
      <c r="C239" s="4" t="s">
        <v>118</v>
      </c>
      <c r="D239" s="4" t="s">
        <v>119</v>
      </c>
      <c r="E239" s="5">
        <v>45077</v>
      </c>
      <c r="F239" s="4" t="s">
        <v>455</v>
      </c>
      <c r="G239" s="4"/>
      <c r="H239" s="4"/>
      <c r="I239" s="4" t="s">
        <v>456</v>
      </c>
      <c r="J239" s="4" t="s">
        <v>456</v>
      </c>
      <c r="K239" s="6"/>
      <c r="L239" s="6">
        <v>5125</v>
      </c>
      <c r="M239" s="6">
        <f t="shared" si="4"/>
        <v>-355029.38000000006</v>
      </c>
      <c r="N239" s="4" t="s">
        <v>64</v>
      </c>
      <c r="O239" s="4" t="s">
        <v>92</v>
      </c>
      <c r="P239" s="4" t="s">
        <v>66</v>
      </c>
      <c r="Q239" s="4"/>
      <c r="R239" s="4" t="s">
        <v>0</v>
      </c>
      <c r="S239" s="4"/>
    </row>
    <row r="240" spans="1:19" x14ac:dyDescent="0.2">
      <c r="A240" s="17"/>
      <c r="B240" s="4" t="s">
        <v>45</v>
      </c>
      <c r="C240" s="4" t="s">
        <v>118</v>
      </c>
      <c r="D240" s="4" t="s">
        <v>119</v>
      </c>
      <c r="E240" s="5">
        <v>45077</v>
      </c>
      <c r="F240" s="4" t="s">
        <v>457</v>
      </c>
      <c r="G240" s="4"/>
      <c r="H240" s="4"/>
      <c r="I240" s="4" t="s">
        <v>431</v>
      </c>
      <c r="J240" s="4" t="s">
        <v>385</v>
      </c>
      <c r="K240" s="6"/>
      <c r="L240" s="6">
        <v>31281.9</v>
      </c>
      <c r="M240" s="6">
        <f t="shared" si="4"/>
        <v>-386311.28000000009</v>
      </c>
      <c r="N240" s="4" t="s">
        <v>64</v>
      </c>
      <c r="O240" s="4" t="s">
        <v>65</v>
      </c>
      <c r="P240" s="4" t="s">
        <v>66</v>
      </c>
      <c r="Q240" s="4"/>
      <c r="R240" s="4" t="s">
        <v>0</v>
      </c>
      <c r="S240" s="4"/>
    </row>
    <row r="241" spans="1:19" x14ac:dyDescent="0.2">
      <c r="A241" s="17"/>
      <c r="B241" s="4" t="s">
        <v>45</v>
      </c>
      <c r="C241" s="4" t="s">
        <v>118</v>
      </c>
      <c r="D241" s="4" t="s">
        <v>119</v>
      </c>
      <c r="E241" s="5">
        <v>45077</v>
      </c>
      <c r="F241" s="4" t="s">
        <v>458</v>
      </c>
      <c r="G241" s="4"/>
      <c r="H241" s="4"/>
      <c r="I241" s="4" t="s">
        <v>459</v>
      </c>
      <c r="J241" s="4" t="s">
        <v>385</v>
      </c>
      <c r="K241" s="6">
        <v>33731.9</v>
      </c>
      <c r="L241" s="6"/>
      <c r="M241" s="6">
        <f t="shared" si="4"/>
        <v>-352579.38000000006</v>
      </c>
      <c r="N241" s="4" t="s">
        <v>64</v>
      </c>
      <c r="O241" s="4" t="s">
        <v>65</v>
      </c>
      <c r="P241" s="4" t="s">
        <v>66</v>
      </c>
      <c r="Q241" s="4"/>
      <c r="R241" s="4" t="s">
        <v>0</v>
      </c>
      <c r="S241" s="4"/>
    </row>
    <row r="242" spans="1:19" x14ac:dyDescent="0.2">
      <c r="A242" s="17"/>
      <c r="B242" s="4" t="s">
        <v>45</v>
      </c>
      <c r="C242" s="4" t="s">
        <v>118</v>
      </c>
      <c r="D242" s="4" t="s">
        <v>119</v>
      </c>
      <c r="E242" s="5">
        <v>45077</v>
      </c>
      <c r="F242" s="4" t="s">
        <v>460</v>
      </c>
      <c r="G242" s="4"/>
      <c r="H242" s="4"/>
      <c r="I242" s="4" t="s">
        <v>461</v>
      </c>
      <c r="J242" s="4" t="s">
        <v>461</v>
      </c>
      <c r="K242" s="6">
        <v>5250</v>
      </c>
      <c r="L242" s="6"/>
      <c r="M242" s="6">
        <f t="shared" si="4"/>
        <v>-347329.38000000006</v>
      </c>
      <c r="N242" s="4" t="s">
        <v>64</v>
      </c>
      <c r="O242" s="4" t="s">
        <v>92</v>
      </c>
      <c r="P242" s="4" t="s">
        <v>66</v>
      </c>
      <c r="Q242" s="4"/>
      <c r="R242" s="4" t="s">
        <v>0</v>
      </c>
      <c r="S242" s="4"/>
    </row>
    <row r="243" spans="1:19" x14ac:dyDescent="0.2">
      <c r="A243" s="17"/>
      <c r="B243" s="4" t="s">
        <v>45</v>
      </c>
      <c r="C243" s="4" t="s">
        <v>118</v>
      </c>
      <c r="D243" s="4" t="s">
        <v>119</v>
      </c>
      <c r="E243" s="5">
        <v>45078</v>
      </c>
      <c r="F243" s="4" t="s">
        <v>462</v>
      </c>
      <c r="G243" s="4"/>
      <c r="H243" s="4"/>
      <c r="I243" s="4" t="s">
        <v>463</v>
      </c>
      <c r="J243" s="4" t="s">
        <v>463</v>
      </c>
      <c r="K243" s="6"/>
      <c r="L243" s="6">
        <v>10.5</v>
      </c>
      <c r="M243" s="6">
        <f t="shared" si="4"/>
        <v>-347339.88000000006</v>
      </c>
      <c r="N243" s="4" t="s">
        <v>64</v>
      </c>
      <c r="O243" s="4" t="s">
        <v>65</v>
      </c>
      <c r="P243" s="4" t="s">
        <v>66</v>
      </c>
      <c r="Q243" s="4"/>
      <c r="R243" s="4" t="s">
        <v>0</v>
      </c>
      <c r="S243" s="4"/>
    </row>
    <row r="244" spans="1:19" x14ac:dyDescent="0.2">
      <c r="A244" s="17"/>
      <c r="B244" s="4" t="s">
        <v>45</v>
      </c>
      <c r="C244" s="4" t="s">
        <v>118</v>
      </c>
      <c r="D244" s="4" t="s">
        <v>119</v>
      </c>
      <c r="E244" s="5">
        <v>45079</v>
      </c>
      <c r="F244" s="4" t="s">
        <v>464</v>
      </c>
      <c r="G244" s="4"/>
      <c r="H244" s="4"/>
      <c r="I244" s="4" t="s">
        <v>465</v>
      </c>
      <c r="J244" s="4" t="s">
        <v>465</v>
      </c>
      <c r="K244" s="6"/>
      <c r="L244" s="6">
        <v>14012.25</v>
      </c>
      <c r="M244" s="6">
        <f t="shared" si="4"/>
        <v>-361352.13000000006</v>
      </c>
      <c r="N244" s="4" t="s">
        <v>64</v>
      </c>
      <c r="O244" s="4" t="s">
        <v>65</v>
      </c>
      <c r="P244" s="4" t="s">
        <v>66</v>
      </c>
      <c r="Q244" s="4"/>
      <c r="R244" s="4" t="s">
        <v>0</v>
      </c>
      <c r="S244" s="4"/>
    </row>
    <row r="245" spans="1:19" x14ac:dyDescent="0.2">
      <c r="A245" s="17"/>
      <c r="B245" s="4" t="s">
        <v>45</v>
      </c>
      <c r="C245" s="4" t="s">
        <v>118</v>
      </c>
      <c r="D245" s="4" t="s">
        <v>119</v>
      </c>
      <c r="E245" s="5">
        <v>45079</v>
      </c>
      <c r="F245" s="4" t="s">
        <v>466</v>
      </c>
      <c r="G245" s="4"/>
      <c r="H245" s="4"/>
      <c r="I245" s="4" t="s">
        <v>467</v>
      </c>
      <c r="J245" s="4" t="s">
        <v>467</v>
      </c>
      <c r="K245" s="6"/>
      <c r="L245" s="6">
        <v>21806.400000000001</v>
      </c>
      <c r="M245" s="6">
        <f t="shared" si="4"/>
        <v>-383158.53000000009</v>
      </c>
      <c r="N245" s="4" t="s">
        <v>64</v>
      </c>
      <c r="O245" s="4" t="s">
        <v>65</v>
      </c>
      <c r="P245" s="4" t="s">
        <v>66</v>
      </c>
      <c r="Q245" s="4"/>
      <c r="R245" s="4" t="s">
        <v>0</v>
      </c>
      <c r="S245" s="4"/>
    </row>
    <row r="246" spans="1:19" x14ac:dyDescent="0.2">
      <c r="A246" s="17"/>
      <c r="B246" s="4" t="s">
        <v>45</v>
      </c>
      <c r="C246" s="4" t="s">
        <v>118</v>
      </c>
      <c r="D246" s="4" t="s">
        <v>119</v>
      </c>
      <c r="E246" s="5">
        <v>45080</v>
      </c>
      <c r="F246" s="4" t="s">
        <v>468</v>
      </c>
      <c r="G246" s="4"/>
      <c r="H246" s="4"/>
      <c r="I246" s="4" t="s">
        <v>469</v>
      </c>
      <c r="J246" s="4" t="s">
        <v>469</v>
      </c>
      <c r="K246" s="6"/>
      <c r="L246" s="6">
        <v>4700</v>
      </c>
      <c r="M246" s="6">
        <f t="shared" si="4"/>
        <v>-387858.53000000009</v>
      </c>
      <c r="N246" s="4" t="s">
        <v>64</v>
      </c>
      <c r="O246" s="4" t="s">
        <v>65</v>
      </c>
      <c r="P246" s="4" t="s">
        <v>66</v>
      </c>
      <c r="Q246" s="4"/>
      <c r="R246" s="4" t="s">
        <v>0</v>
      </c>
      <c r="S246" s="4"/>
    </row>
    <row r="247" spans="1:19" x14ac:dyDescent="0.2">
      <c r="A247" s="17"/>
      <c r="B247" s="4" t="s">
        <v>45</v>
      </c>
      <c r="C247" s="4" t="s">
        <v>118</v>
      </c>
      <c r="D247" s="4" t="s">
        <v>119</v>
      </c>
      <c r="E247" s="5">
        <v>45080</v>
      </c>
      <c r="F247" s="4" t="s">
        <v>470</v>
      </c>
      <c r="G247" s="4"/>
      <c r="H247" s="4"/>
      <c r="I247" s="4" t="s">
        <v>471</v>
      </c>
      <c r="J247" s="4" t="s">
        <v>471</v>
      </c>
      <c r="K247" s="6"/>
      <c r="L247" s="6">
        <v>14379.15</v>
      </c>
      <c r="M247" s="6">
        <f t="shared" si="4"/>
        <v>-402237.68000000011</v>
      </c>
      <c r="N247" s="4" t="s">
        <v>64</v>
      </c>
      <c r="O247" s="4" t="s">
        <v>65</v>
      </c>
      <c r="P247" s="4" t="s">
        <v>66</v>
      </c>
      <c r="Q247" s="4"/>
      <c r="R247" s="4" t="s">
        <v>0</v>
      </c>
      <c r="S247" s="4"/>
    </row>
    <row r="248" spans="1:19" x14ac:dyDescent="0.2">
      <c r="A248" s="17"/>
      <c r="B248" s="4" t="s">
        <v>45</v>
      </c>
      <c r="C248" s="4" t="s">
        <v>118</v>
      </c>
      <c r="D248" s="4" t="s">
        <v>119</v>
      </c>
      <c r="E248" s="5">
        <v>45080</v>
      </c>
      <c r="F248" s="4" t="s">
        <v>93</v>
      </c>
      <c r="G248" s="4"/>
      <c r="H248" s="4"/>
      <c r="I248" s="4" t="s">
        <v>94</v>
      </c>
      <c r="J248" s="4" t="s">
        <v>94</v>
      </c>
      <c r="K248" s="6"/>
      <c r="L248" s="6">
        <v>7975.5</v>
      </c>
      <c r="M248" s="6">
        <f t="shared" si="4"/>
        <v>-410213.18000000011</v>
      </c>
      <c r="N248" s="4" t="s">
        <v>64</v>
      </c>
      <c r="O248" s="4" t="s">
        <v>65</v>
      </c>
      <c r="P248" s="4" t="s">
        <v>66</v>
      </c>
      <c r="Q248" s="4"/>
      <c r="R248" s="4" t="s">
        <v>0</v>
      </c>
      <c r="S248" s="4"/>
    </row>
    <row r="249" spans="1:19" x14ac:dyDescent="0.2">
      <c r="A249" s="17"/>
      <c r="B249" s="4" t="s">
        <v>45</v>
      </c>
      <c r="C249" s="4" t="s">
        <v>118</v>
      </c>
      <c r="D249" s="4" t="s">
        <v>119</v>
      </c>
      <c r="E249" s="5">
        <v>45086</v>
      </c>
      <c r="F249" s="4" t="s">
        <v>472</v>
      </c>
      <c r="G249" s="4"/>
      <c r="H249" s="4"/>
      <c r="I249" s="4" t="s">
        <v>473</v>
      </c>
      <c r="J249" s="4" t="s">
        <v>473</v>
      </c>
      <c r="K249" s="6"/>
      <c r="L249" s="6">
        <v>665</v>
      </c>
      <c r="M249" s="6">
        <f t="shared" si="4"/>
        <v>-410878.18000000011</v>
      </c>
      <c r="N249" s="4" t="s">
        <v>64</v>
      </c>
      <c r="O249" s="4" t="s">
        <v>65</v>
      </c>
      <c r="P249" s="4" t="s">
        <v>66</v>
      </c>
      <c r="Q249" s="4"/>
      <c r="R249" s="4" t="s">
        <v>0</v>
      </c>
      <c r="S249" s="4"/>
    </row>
    <row r="250" spans="1:19" x14ac:dyDescent="0.2">
      <c r="A250" s="17"/>
      <c r="B250" s="4" t="s">
        <v>45</v>
      </c>
      <c r="C250" s="4" t="s">
        <v>118</v>
      </c>
      <c r="D250" s="4" t="s">
        <v>119</v>
      </c>
      <c r="E250" s="5">
        <v>45089</v>
      </c>
      <c r="F250" s="4" t="s">
        <v>474</v>
      </c>
      <c r="G250" s="4"/>
      <c r="H250" s="4"/>
      <c r="I250" s="4" t="s">
        <v>475</v>
      </c>
      <c r="J250" s="4" t="s">
        <v>475</v>
      </c>
      <c r="K250" s="6"/>
      <c r="L250" s="6">
        <v>16813.75</v>
      </c>
      <c r="M250" s="6">
        <f t="shared" si="4"/>
        <v>-427691.93000000011</v>
      </c>
      <c r="N250" s="4" t="s">
        <v>64</v>
      </c>
      <c r="O250" s="4" t="s">
        <v>92</v>
      </c>
      <c r="P250" s="4" t="s">
        <v>66</v>
      </c>
      <c r="Q250" s="4"/>
      <c r="R250" s="4" t="s">
        <v>0</v>
      </c>
      <c r="S250" s="4"/>
    </row>
    <row r="251" spans="1:19" x14ac:dyDescent="0.2">
      <c r="A251" s="17"/>
      <c r="B251" s="4" t="s">
        <v>45</v>
      </c>
      <c r="C251" s="4" t="s">
        <v>118</v>
      </c>
      <c r="D251" s="4" t="s">
        <v>119</v>
      </c>
      <c r="E251" s="5">
        <v>45092</v>
      </c>
      <c r="F251" s="4" t="s">
        <v>476</v>
      </c>
      <c r="G251" s="4"/>
      <c r="H251" s="4"/>
      <c r="I251" s="4" t="s">
        <v>477</v>
      </c>
      <c r="J251" s="4" t="s">
        <v>477</v>
      </c>
      <c r="K251" s="6"/>
      <c r="L251" s="6">
        <v>2000</v>
      </c>
      <c r="M251" s="6">
        <f t="shared" si="4"/>
        <v>-429691.93000000011</v>
      </c>
      <c r="N251" s="4" t="s">
        <v>64</v>
      </c>
      <c r="O251" s="4" t="s">
        <v>65</v>
      </c>
      <c r="P251" s="4" t="s">
        <v>66</v>
      </c>
      <c r="Q251" s="4"/>
      <c r="R251" s="4" t="s">
        <v>0</v>
      </c>
      <c r="S251" s="4"/>
    </row>
    <row r="252" spans="1:19" x14ac:dyDescent="0.2">
      <c r="A252" s="17"/>
      <c r="B252" s="4" t="s">
        <v>45</v>
      </c>
      <c r="C252" s="4" t="s">
        <v>118</v>
      </c>
      <c r="D252" s="4" t="s">
        <v>119</v>
      </c>
      <c r="E252" s="5">
        <v>45092</v>
      </c>
      <c r="F252" s="4" t="s">
        <v>478</v>
      </c>
      <c r="G252" s="4"/>
      <c r="H252" s="4"/>
      <c r="I252" s="4" t="s">
        <v>479</v>
      </c>
      <c r="J252" s="4" t="s">
        <v>479</v>
      </c>
      <c r="K252" s="6"/>
      <c r="L252" s="6">
        <v>403.95</v>
      </c>
      <c r="M252" s="6">
        <f t="shared" si="4"/>
        <v>-430095.88000000012</v>
      </c>
      <c r="N252" s="4" t="s">
        <v>64</v>
      </c>
      <c r="O252" s="4" t="s">
        <v>65</v>
      </c>
      <c r="P252" s="4" t="s">
        <v>66</v>
      </c>
      <c r="Q252" s="4"/>
      <c r="R252" s="4" t="s">
        <v>0</v>
      </c>
      <c r="S252" s="4"/>
    </row>
    <row r="253" spans="1:19" x14ac:dyDescent="0.2">
      <c r="A253" s="17"/>
      <c r="B253" s="4" t="s">
        <v>45</v>
      </c>
      <c r="C253" s="4" t="s">
        <v>118</v>
      </c>
      <c r="D253" s="4" t="s">
        <v>119</v>
      </c>
      <c r="E253" s="5">
        <v>45093</v>
      </c>
      <c r="F253" s="4" t="s">
        <v>97</v>
      </c>
      <c r="G253" s="4"/>
      <c r="H253" s="4"/>
      <c r="I253" s="4" t="s">
        <v>98</v>
      </c>
      <c r="J253" s="4" t="s">
        <v>98</v>
      </c>
      <c r="K253" s="6"/>
      <c r="L253" s="6">
        <v>3342.73</v>
      </c>
      <c r="M253" s="6">
        <f t="shared" si="4"/>
        <v>-433438.6100000001</v>
      </c>
      <c r="N253" s="4" t="s">
        <v>64</v>
      </c>
      <c r="O253" s="4" t="s">
        <v>65</v>
      </c>
      <c r="P253" s="4" t="s">
        <v>66</v>
      </c>
      <c r="Q253" s="4"/>
      <c r="R253" s="4" t="s">
        <v>0</v>
      </c>
      <c r="S253" s="4"/>
    </row>
    <row r="254" spans="1:19" x14ac:dyDescent="0.2">
      <c r="A254" s="17"/>
      <c r="B254" s="4" t="s">
        <v>45</v>
      </c>
      <c r="C254" s="4" t="s">
        <v>118</v>
      </c>
      <c r="D254" s="4" t="s">
        <v>119</v>
      </c>
      <c r="E254" s="5">
        <v>45093</v>
      </c>
      <c r="F254" s="4" t="s">
        <v>95</v>
      </c>
      <c r="G254" s="4"/>
      <c r="H254" s="4"/>
      <c r="I254" s="4" t="s">
        <v>96</v>
      </c>
      <c r="J254" s="4" t="s">
        <v>96</v>
      </c>
      <c r="K254" s="6"/>
      <c r="L254" s="6">
        <v>3570.8</v>
      </c>
      <c r="M254" s="6">
        <f t="shared" si="4"/>
        <v>-437009.41000000009</v>
      </c>
      <c r="N254" s="4" t="s">
        <v>64</v>
      </c>
      <c r="O254" s="4" t="s">
        <v>65</v>
      </c>
      <c r="P254" s="4" t="s">
        <v>66</v>
      </c>
      <c r="Q254" s="4"/>
      <c r="R254" s="4" t="s">
        <v>0</v>
      </c>
      <c r="S254" s="4"/>
    </row>
    <row r="255" spans="1:19" x14ac:dyDescent="0.2">
      <c r="A255" s="17"/>
      <c r="B255" s="4" t="s">
        <v>45</v>
      </c>
      <c r="C255" s="4" t="s">
        <v>118</v>
      </c>
      <c r="D255" s="4" t="s">
        <v>119</v>
      </c>
      <c r="E255" s="5">
        <v>45103</v>
      </c>
      <c r="F255" s="4" t="s">
        <v>480</v>
      </c>
      <c r="G255" s="4"/>
      <c r="H255" s="4"/>
      <c r="I255" s="4" t="s">
        <v>481</v>
      </c>
      <c r="J255" s="4" t="s">
        <v>385</v>
      </c>
      <c r="K255" s="6"/>
      <c r="L255" s="6">
        <v>33859.050000000003</v>
      </c>
      <c r="M255" s="6">
        <f t="shared" si="4"/>
        <v>-470868.46000000008</v>
      </c>
      <c r="N255" s="4" t="s">
        <v>64</v>
      </c>
      <c r="O255" s="4" t="s">
        <v>65</v>
      </c>
      <c r="P255" s="4" t="s">
        <v>66</v>
      </c>
      <c r="Q255" s="4"/>
      <c r="R255" s="4" t="s">
        <v>0</v>
      </c>
      <c r="S255" s="4"/>
    </row>
    <row r="256" spans="1:19" x14ac:dyDescent="0.2">
      <c r="A256" s="17"/>
      <c r="B256" s="4" t="s">
        <v>45</v>
      </c>
      <c r="C256" s="4" t="s">
        <v>118</v>
      </c>
      <c r="D256" s="4" t="s">
        <v>119</v>
      </c>
      <c r="E256" s="5">
        <v>45103</v>
      </c>
      <c r="F256" s="4" t="s">
        <v>482</v>
      </c>
      <c r="G256" s="4"/>
      <c r="H256" s="4"/>
      <c r="I256" s="4" t="s">
        <v>483</v>
      </c>
      <c r="J256" s="4" t="s">
        <v>483</v>
      </c>
      <c r="K256" s="6">
        <v>30394.35</v>
      </c>
      <c r="L256" s="6"/>
      <c r="M256" s="6">
        <f t="shared" si="4"/>
        <v>-440474.1100000001</v>
      </c>
      <c r="N256" s="4" t="s">
        <v>64</v>
      </c>
      <c r="O256" s="4" t="s">
        <v>65</v>
      </c>
      <c r="P256" s="4" t="s">
        <v>66</v>
      </c>
      <c r="Q256" s="4"/>
      <c r="R256" s="4" t="s">
        <v>0</v>
      </c>
      <c r="S256" s="4"/>
    </row>
    <row r="257" spans="1:19" x14ac:dyDescent="0.2">
      <c r="A257" s="17"/>
      <c r="B257" s="4" t="s">
        <v>45</v>
      </c>
      <c r="C257" s="4" t="s">
        <v>118</v>
      </c>
      <c r="D257" s="4" t="s">
        <v>119</v>
      </c>
      <c r="E257" s="5">
        <v>45107</v>
      </c>
      <c r="F257" s="4" t="s">
        <v>484</v>
      </c>
      <c r="G257" s="4"/>
      <c r="H257" s="4"/>
      <c r="I257" s="4" t="s">
        <v>485</v>
      </c>
      <c r="J257" s="4" t="s">
        <v>485</v>
      </c>
      <c r="K257" s="6"/>
      <c r="L257" s="6">
        <v>59.11</v>
      </c>
      <c r="M257" s="6">
        <f t="shared" si="4"/>
        <v>-440533.22000000009</v>
      </c>
      <c r="N257" s="4" t="s">
        <v>64</v>
      </c>
      <c r="O257" s="4" t="s">
        <v>65</v>
      </c>
      <c r="P257" s="4" t="s">
        <v>66</v>
      </c>
      <c r="Q257" s="4"/>
      <c r="R257" s="4" t="s">
        <v>0</v>
      </c>
      <c r="S257" s="4"/>
    </row>
    <row r="258" spans="1:19" x14ac:dyDescent="0.2">
      <c r="A258" s="17"/>
      <c r="B258" s="4" t="s">
        <v>45</v>
      </c>
      <c r="C258" s="4" t="s">
        <v>118</v>
      </c>
      <c r="D258" s="4" t="s">
        <v>119</v>
      </c>
      <c r="E258" s="5">
        <v>45113</v>
      </c>
      <c r="F258" s="4" t="s">
        <v>486</v>
      </c>
      <c r="G258" s="4"/>
      <c r="H258" s="4"/>
      <c r="I258" s="4" t="s">
        <v>487</v>
      </c>
      <c r="J258" s="4" t="s">
        <v>487</v>
      </c>
      <c r="K258" s="6"/>
      <c r="L258" s="6">
        <v>1743</v>
      </c>
      <c r="M258" s="6">
        <f t="shared" si="4"/>
        <v>-442276.22000000009</v>
      </c>
      <c r="N258" s="4" t="s">
        <v>64</v>
      </c>
      <c r="O258" s="4" t="s">
        <v>65</v>
      </c>
      <c r="P258" s="4" t="s">
        <v>66</v>
      </c>
      <c r="Q258" s="4"/>
      <c r="R258" s="4" t="s">
        <v>0</v>
      </c>
      <c r="S258" s="4"/>
    </row>
    <row r="259" spans="1:19" x14ac:dyDescent="0.2">
      <c r="A259" s="17"/>
      <c r="B259" s="4" t="s">
        <v>45</v>
      </c>
      <c r="C259" s="4" t="s">
        <v>118</v>
      </c>
      <c r="D259" s="4" t="s">
        <v>119</v>
      </c>
      <c r="E259" s="5">
        <v>45113</v>
      </c>
      <c r="F259" s="4" t="s">
        <v>488</v>
      </c>
      <c r="G259" s="4"/>
      <c r="H259" s="4"/>
      <c r="I259" s="4" t="s">
        <v>489</v>
      </c>
      <c r="J259" s="4" t="s">
        <v>489</v>
      </c>
      <c r="K259" s="6"/>
      <c r="L259" s="6">
        <v>5319.01</v>
      </c>
      <c r="M259" s="6">
        <f t="shared" si="4"/>
        <v>-447595.2300000001</v>
      </c>
      <c r="N259" s="4" t="s">
        <v>64</v>
      </c>
      <c r="O259" s="4" t="s">
        <v>65</v>
      </c>
      <c r="P259" s="4" t="s">
        <v>66</v>
      </c>
      <c r="Q259" s="4"/>
      <c r="R259" s="4" t="s">
        <v>0</v>
      </c>
      <c r="S259" s="4"/>
    </row>
    <row r="260" spans="1:19" x14ac:dyDescent="0.2">
      <c r="A260" s="17"/>
      <c r="B260" s="4" t="s">
        <v>45</v>
      </c>
      <c r="C260" s="4" t="s">
        <v>118</v>
      </c>
      <c r="D260" s="4" t="s">
        <v>119</v>
      </c>
      <c r="E260" s="5">
        <v>45113</v>
      </c>
      <c r="F260" s="4" t="s">
        <v>490</v>
      </c>
      <c r="G260" s="4"/>
      <c r="H260" s="4"/>
      <c r="I260" s="4" t="s">
        <v>491</v>
      </c>
      <c r="J260" s="4" t="s">
        <v>491</v>
      </c>
      <c r="K260" s="6"/>
      <c r="L260" s="6">
        <v>39776.1</v>
      </c>
      <c r="M260" s="6">
        <f t="shared" si="4"/>
        <v>-487371.33000000007</v>
      </c>
      <c r="N260" s="4" t="s">
        <v>64</v>
      </c>
      <c r="O260" s="4" t="s">
        <v>65</v>
      </c>
      <c r="P260" s="4" t="s">
        <v>66</v>
      </c>
      <c r="Q260" s="4"/>
      <c r="R260" s="4" t="s">
        <v>0</v>
      </c>
      <c r="S260" s="4"/>
    </row>
    <row r="261" spans="1:19" x14ac:dyDescent="0.2">
      <c r="A261" s="17"/>
      <c r="B261" s="4" t="s">
        <v>45</v>
      </c>
      <c r="C261" s="4" t="s">
        <v>118</v>
      </c>
      <c r="D261" s="4" t="s">
        <v>119</v>
      </c>
      <c r="E261" s="5">
        <v>45113</v>
      </c>
      <c r="F261" s="4" t="s">
        <v>492</v>
      </c>
      <c r="G261" s="4"/>
      <c r="H261" s="4"/>
      <c r="I261" s="4" t="s">
        <v>493</v>
      </c>
      <c r="J261" s="4" t="s">
        <v>493</v>
      </c>
      <c r="K261" s="6"/>
      <c r="L261" s="6">
        <v>3687.98</v>
      </c>
      <c r="M261" s="6">
        <f t="shared" si="4"/>
        <v>-491059.31000000006</v>
      </c>
      <c r="N261" s="4" t="s">
        <v>64</v>
      </c>
      <c r="O261" s="4" t="s">
        <v>65</v>
      </c>
      <c r="P261" s="4" t="s">
        <v>66</v>
      </c>
      <c r="Q261" s="4"/>
      <c r="R261" s="4" t="s">
        <v>0</v>
      </c>
      <c r="S261" s="4"/>
    </row>
    <row r="262" spans="1:19" x14ac:dyDescent="0.2">
      <c r="A262" s="17"/>
      <c r="B262" s="4" t="s">
        <v>45</v>
      </c>
      <c r="C262" s="4" t="s">
        <v>118</v>
      </c>
      <c r="D262" s="4" t="s">
        <v>119</v>
      </c>
      <c r="E262" s="5">
        <v>45113</v>
      </c>
      <c r="F262" s="4" t="s">
        <v>494</v>
      </c>
      <c r="G262" s="4"/>
      <c r="H262" s="4"/>
      <c r="I262" s="4" t="s">
        <v>495</v>
      </c>
      <c r="J262" s="4" t="s">
        <v>496</v>
      </c>
      <c r="K262" s="6"/>
      <c r="L262" s="6">
        <v>14490</v>
      </c>
      <c r="M262" s="6">
        <f t="shared" si="4"/>
        <v>-505549.31000000006</v>
      </c>
      <c r="N262" s="4" t="s">
        <v>64</v>
      </c>
      <c r="O262" s="4" t="s">
        <v>65</v>
      </c>
      <c r="P262" s="4" t="s">
        <v>66</v>
      </c>
      <c r="Q262" s="4"/>
      <c r="R262" s="4" t="s">
        <v>0</v>
      </c>
      <c r="S262" s="4"/>
    </row>
    <row r="263" spans="1:19" x14ac:dyDescent="0.2">
      <c r="A263" s="17"/>
      <c r="B263" s="4" t="s">
        <v>45</v>
      </c>
      <c r="C263" s="4" t="s">
        <v>118</v>
      </c>
      <c r="D263" s="4" t="s">
        <v>119</v>
      </c>
      <c r="E263" s="5">
        <v>45115</v>
      </c>
      <c r="F263" s="4" t="s">
        <v>497</v>
      </c>
      <c r="G263" s="4"/>
      <c r="H263" s="4"/>
      <c r="I263" s="4" t="s">
        <v>498</v>
      </c>
      <c r="J263" s="4" t="s">
        <v>498</v>
      </c>
      <c r="K263" s="6"/>
      <c r="L263" s="6">
        <v>6400</v>
      </c>
      <c r="M263" s="6">
        <f t="shared" si="4"/>
        <v>-511949.31000000006</v>
      </c>
      <c r="N263" s="4" t="s">
        <v>64</v>
      </c>
      <c r="O263" s="4" t="s">
        <v>92</v>
      </c>
      <c r="P263" s="4" t="s">
        <v>66</v>
      </c>
      <c r="Q263" s="4"/>
      <c r="R263" s="4" t="s">
        <v>0</v>
      </c>
      <c r="S263" s="4"/>
    </row>
    <row r="264" spans="1:19" x14ac:dyDescent="0.2">
      <c r="A264" s="17"/>
      <c r="B264" s="4" t="s">
        <v>45</v>
      </c>
      <c r="C264" s="4" t="s">
        <v>118</v>
      </c>
      <c r="D264" s="4" t="s">
        <v>119</v>
      </c>
      <c r="E264" s="5">
        <v>45117</v>
      </c>
      <c r="F264" s="4" t="s">
        <v>101</v>
      </c>
      <c r="G264" s="4"/>
      <c r="H264" s="4"/>
      <c r="I264" s="4" t="s">
        <v>102</v>
      </c>
      <c r="J264" s="4" t="s">
        <v>102</v>
      </c>
      <c r="K264" s="6"/>
      <c r="L264" s="6">
        <v>6114.18</v>
      </c>
      <c r="M264" s="6">
        <f t="shared" si="4"/>
        <v>-518063.49000000005</v>
      </c>
      <c r="N264" s="4" t="s">
        <v>64</v>
      </c>
      <c r="O264" s="4" t="s">
        <v>65</v>
      </c>
      <c r="P264" s="4" t="s">
        <v>66</v>
      </c>
      <c r="Q264" s="4"/>
      <c r="R264" s="4" t="s">
        <v>0</v>
      </c>
      <c r="S264" s="4"/>
    </row>
    <row r="265" spans="1:19" x14ac:dyDescent="0.2">
      <c r="A265" s="17"/>
      <c r="B265" s="4" t="s">
        <v>45</v>
      </c>
      <c r="C265" s="4" t="s">
        <v>118</v>
      </c>
      <c r="D265" s="4" t="s">
        <v>119</v>
      </c>
      <c r="E265" s="5">
        <v>45119</v>
      </c>
      <c r="F265" s="4" t="s">
        <v>499</v>
      </c>
      <c r="G265" s="4"/>
      <c r="H265" s="4"/>
      <c r="I265" s="4" t="s">
        <v>500</v>
      </c>
      <c r="J265" s="4" t="s">
        <v>500</v>
      </c>
      <c r="K265" s="6"/>
      <c r="L265" s="6">
        <v>497.96</v>
      </c>
      <c r="M265" s="6">
        <f t="shared" si="4"/>
        <v>-518561.45000000007</v>
      </c>
      <c r="N265" s="4" t="s">
        <v>64</v>
      </c>
      <c r="O265" s="4" t="s">
        <v>65</v>
      </c>
      <c r="P265" s="4" t="s">
        <v>66</v>
      </c>
      <c r="Q265" s="4"/>
      <c r="R265" s="4" t="s">
        <v>0</v>
      </c>
      <c r="S265" s="4"/>
    </row>
    <row r="266" spans="1:19" x14ac:dyDescent="0.2">
      <c r="A266" s="17"/>
      <c r="B266" s="4" t="s">
        <v>45</v>
      </c>
      <c r="C266" s="4" t="s">
        <v>118</v>
      </c>
      <c r="D266" s="4" t="s">
        <v>119</v>
      </c>
      <c r="E266" s="5">
        <v>45119</v>
      </c>
      <c r="F266" s="4" t="s">
        <v>501</v>
      </c>
      <c r="G266" s="4"/>
      <c r="H266" s="4"/>
      <c r="I266" s="4" t="s">
        <v>502</v>
      </c>
      <c r="J266" s="4" t="s">
        <v>502</v>
      </c>
      <c r="K266" s="6"/>
      <c r="L266" s="6">
        <v>16813.75</v>
      </c>
      <c r="M266" s="6">
        <f t="shared" si="4"/>
        <v>-535375.20000000007</v>
      </c>
      <c r="N266" s="4" t="s">
        <v>64</v>
      </c>
      <c r="O266" s="4" t="s">
        <v>92</v>
      </c>
      <c r="P266" s="4" t="s">
        <v>66</v>
      </c>
      <c r="Q266" s="4"/>
      <c r="R266" s="4" t="s">
        <v>0</v>
      </c>
      <c r="S266" s="4"/>
    </row>
    <row r="267" spans="1:19" x14ac:dyDescent="0.2">
      <c r="A267" s="17"/>
      <c r="B267" s="4" t="s">
        <v>45</v>
      </c>
      <c r="C267" s="4" t="s">
        <v>118</v>
      </c>
      <c r="D267" s="4" t="s">
        <v>119</v>
      </c>
      <c r="E267" s="5">
        <v>45121</v>
      </c>
      <c r="F267" s="4" t="s">
        <v>503</v>
      </c>
      <c r="G267" s="4"/>
      <c r="H267" s="4"/>
      <c r="I267" s="4" t="s">
        <v>504</v>
      </c>
      <c r="J267" s="4"/>
      <c r="K267" s="6"/>
      <c r="L267" s="6">
        <v>60000</v>
      </c>
      <c r="M267" s="6">
        <f t="shared" si="4"/>
        <v>-595375.20000000007</v>
      </c>
      <c r="N267" s="4" t="s">
        <v>64</v>
      </c>
      <c r="O267" s="4" t="s">
        <v>65</v>
      </c>
      <c r="P267" s="4" t="s">
        <v>66</v>
      </c>
      <c r="Q267" s="4"/>
      <c r="R267" s="4" t="s">
        <v>0</v>
      </c>
      <c r="S267" s="4"/>
    </row>
    <row r="268" spans="1:19" x14ac:dyDescent="0.2">
      <c r="A268" s="17"/>
      <c r="B268" s="4" t="s">
        <v>45</v>
      </c>
      <c r="C268" s="4" t="s">
        <v>118</v>
      </c>
      <c r="D268" s="4" t="s">
        <v>119</v>
      </c>
      <c r="E268" s="5">
        <v>45121</v>
      </c>
      <c r="F268" s="4" t="s">
        <v>505</v>
      </c>
      <c r="G268" s="4"/>
      <c r="H268" s="4"/>
      <c r="I268" s="4" t="s">
        <v>506</v>
      </c>
      <c r="J268" s="4" t="s">
        <v>506</v>
      </c>
      <c r="K268" s="6"/>
      <c r="L268" s="6">
        <v>16380</v>
      </c>
      <c r="M268" s="6">
        <f t="shared" ref="M268:M331" si="5">M267+K268-L268</f>
        <v>-611755.20000000007</v>
      </c>
      <c r="N268" s="4" t="s">
        <v>64</v>
      </c>
      <c r="O268" s="4" t="s">
        <v>92</v>
      </c>
      <c r="P268" s="4" t="s">
        <v>66</v>
      </c>
      <c r="Q268" s="4"/>
      <c r="R268" s="4" t="s">
        <v>0</v>
      </c>
      <c r="S268" s="4"/>
    </row>
    <row r="269" spans="1:19" x14ac:dyDescent="0.2">
      <c r="A269" s="17"/>
      <c r="B269" s="4" t="s">
        <v>45</v>
      </c>
      <c r="C269" s="4" t="s">
        <v>118</v>
      </c>
      <c r="D269" s="4" t="s">
        <v>119</v>
      </c>
      <c r="E269" s="5">
        <v>45127</v>
      </c>
      <c r="F269" s="4" t="s">
        <v>507</v>
      </c>
      <c r="G269" s="4"/>
      <c r="H269" s="4"/>
      <c r="I269" s="4" t="s">
        <v>508</v>
      </c>
      <c r="J269" s="4"/>
      <c r="K269" s="6"/>
      <c r="L269" s="6">
        <v>10631.25</v>
      </c>
      <c r="M269" s="6">
        <f t="shared" si="5"/>
        <v>-622386.45000000007</v>
      </c>
      <c r="N269" s="4" t="s">
        <v>64</v>
      </c>
      <c r="O269" s="4" t="s">
        <v>92</v>
      </c>
      <c r="P269" s="4" t="s">
        <v>66</v>
      </c>
      <c r="Q269" s="4"/>
      <c r="R269" s="4" t="s">
        <v>0</v>
      </c>
      <c r="S269" s="4"/>
    </row>
    <row r="270" spans="1:19" x14ac:dyDescent="0.2">
      <c r="A270" s="17"/>
      <c r="B270" s="4" t="s">
        <v>45</v>
      </c>
      <c r="C270" s="4" t="s">
        <v>118</v>
      </c>
      <c r="D270" s="4" t="s">
        <v>119</v>
      </c>
      <c r="E270" s="5">
        <v>45127</v>
      </c>
      <c r="F270" s="4" t="s">
        <v>509</v>
      </c>
      <c r="G270" s="4"/>
      <c r="H270" s="4"/>
      <c r="I270" s="4" t="s">
        <v>510</v>
      </c>
      <c r="J270" s="4"/>
      <c r="K270" s="6"/>
      <c r="L270" s="6">
        <v>44430.79</v>
      </c>
      <c r="M270" s="6">
        <f t="shared" si="5"/>
        <v>-666817.24000000011</v>
      </c>
      <c r="N270" s="4" t="s">
        <v>64</v>
      </c>
      <c r="O270" s="4" t="s">
        <v>92</v>
      </c>
      <c r="P270" s="4" t="s">
        <v>66</v>
      </c>
      <c r="Q270" s="4"/>
      <c r="R270" s="4" t="s">
        <v>0</v>
      </c>
      <c r="S270" s="4"/>
    </row>
    <row r="271" spans="1:19" x14ac:dyDescent="0.2">
      <c r="A271" s="17"/>
      <c r="B271" s="4" t="s">
        <v>45</v>
      </c>
      <c r="C271" s="4" t="s">
        <v>118</v>
      </c>
      <c r="D271" s="4" t="s">
        <v>119</v>
      </c>
      <c r="E271" s="5">
        <v>45127</v>
      </c>
      <c r="F271" s="4" t="s">
        <v>511</v>
      </c>
      <c r="G271" s="4"/>
      <c r="H271" s="4"/>
      <c r="I271" s="4" t="s">
        <v>512</v>
      </c>
      <c r="J271" s="4"/>
      <c r="K271" s="6"/>
      <c r="L271" s="6">
        <v>2940</v>
      </c>
      <c r="M271" s="6">
        <f t="shared" si="5"/>
        <v>-669757.24000000011</v>
      </c>
      <c r="N271" s="4" t="s">
        <v>64</v>
      </c>
      <c r="O271" s="4" t="s">
        <v>92</v>
      </c>
      <c r="P271" s="4" t="s">
        <v>66</v>
      </c>
      <c r="Q271" s="4"/>
      <c r="R271" s="4" t="s">
        <v>0</v>
      </c>
      <c r="S271" s="4"/>
    </row>
    <row r="272" spans="1:19" x14ac:dyDescent="0.2">
      <c r="A272" s="17"/>
      <c r="B272" s="4" t="s">
        <v>45</v>
      </c>
      <c r="C272" s="4" t="s">
        <v>118</v>
      </c>
      <c r="D272" s="4" t="s">
        <v>119</v>
      </c>
      <c r="E272" s="5">
        <v>45127</v>
      </c>
      <c r="F272" s="4" t="s">
        <v>513</v>
      </c>
      <c r="G272" s="4"/>
      <c r="H272" s="4"/>
      <c r="I272" s="4" t="s">
        <v>514</v>
      </c>
      <c r="J272" s="4"/>
      <c r="K272" s="6"/>
      <c r="L272" s="6">
        <v>3675</v>
      </c>
      <c r="M272" s="6">
        <f t="shared" si="5"/>
        <v>-673432.24000000011</v>
      </c>
      <c r="N272" s="4" t="s">
        <v>64</v>
      </c>
      <c r="O272" s="4" t="s">
        <v>92</v>
      </c>
      <c r="P272" s="4" t="s">
        <v>66</v>
      </c>
      <c r="Q272" s="4"/>
      <c r="R272" s="4" t="s">
        <v>0</v>
      </c>
      <c r="S272" s="4"/>
    </row>
    <row r="273" spans="1:19" x14ac:dyDescent="0.2">
      <c r="A273" s="17"/>
      <c r="B273" s="4" t="s">
        <v>45</v>
      </c>
      <c r="C273" s="4" t="s">
        <v>118</v>
      </c>
      <c r="D273" s="4" t="s">
        <v>119</v>
      </c>
      <c r="E273" s="5">
        <v>45127</v>
      </c>
      <c r="F273" s="4" t="s">
        <v>515</v>
      </c>
      <c r="G273" s="4"/>
      <c r="H273" s="4"/>
      <c r="I273" s="4" t="s">
        <v>516</v>
      </c>
      <c r="J273" s="4" t="s">
        <v>516</v>
      </c>
      <c r="K273" s="6">
        <v>431815.44</v>
      </c>
      <c r="L273" s="6"/>
      <c r="M273" s="6">
        <f t="shared" si="5"/>
        <v>-241616.8000000001</v>
      </c>
      <c r="N273" s="4" t="s">
        <v>64</v>
      </c>
      <c r="O273" s="4" t="s">
        <v>92</v>
      </c>
      <c r="P273" s="4" t="s">
        <v>66</v>
      </c>
      <c r="Q273" s="4"/>
      <c r="R273" s="4" t="s">
        <v>0</v>
      </c>
      <c r="S273" s="4"/>
    </row>
    <row r="274" spans="1:19" x14ac:dyDescent="0.2">
      <c r="A274" s="17"/>
      <c r="B274" s="4" t="s">
        <v>45</v>
      </c>
      <c r="C274" s="4" t="s">
        <v>118</v>
      </c>
      <c r="D274" s="4" t="s">
        <v>119</v>
      </c>
      <c r="E274" s="5">
        <v>45127</v>
      </c>
      <c r="F274" s="4" t="s">
        <v>517</v>
      </c>
      <c r="G274" s="4"/>
      <c r="H274" s="4"/>
      <c r="I274" s="4" t="s">
        <v>518</v>
      </c>
      <c r="J274" s="4"/>
      <c r="K274" s="6"/>
      <c r="L274" s="6">
        <v>25830</v>
      </c>
      <c r="M274" s="6">
        <f t="shared" si="5"/>
        <v>-267446.8000000001</v>
      </c>
      <c r="N274" s="4" t="s">
        <v>64</v>
      </c>
      <c r="O274" s="4" t="s">
        <v>92</v>
      </c>
      <c r="P274" s="4" t="s">
        <v>66</v>
      </c>
      <c r="Q274" s="4"/>
      <c r="R274" s="4" t="s">
        <v>0</v>
      </c>
      <c r="S274" s="4"/>
    </row>
    <row r="275" spans="1:19" x14ac:dyDescent="0.2">
      <c r="A275" s="17"/>
      <c r="B275" s="4" t="s">
        <v>45</v>
      </c>
      <c r="C275" s="4" t="s">
        <v>118</v>
      </c>
      <c r="D275" s="4" t="s">
        <v>119</v>
      </c>
      <c r="E275" s="5">
        <v>45132</v>
      </c>
      <c r="F275" s="4" t="s">
        <v>519</v>
      </c>
      <c r="G275" s="4"/>
      <c r="H275" s="4"/>
      <c r="I275" s="4" t="s">
        <v>520</v>
      </c>
      <c r="J275" s="4"/>
      <c r="K275" s="6"/>
      <c r="L275" s="6">
        <v>24150</v>
      </c>
      <c r="M275" s="6">
        <f t="shared" si="5"/>
        <v>-291596.8000000001</v>
      </c>
      <c r="N275" s="4" t="s">
        <v>64</v>
      </c>
      <c r="O275" s="4" t="s">
        <v>92</v>
      </c>
      <c r="P275" s="4" t="s">
        <v>66</v>
      </c>
      <c r="Q275" s="4"/>
      <c r="R275" s="4" t="s">
        <v>0</v>
      </c>
      <c r="S275" s="4"/>
    </row>
    <row r="276" spans="1:19" x14ac:dyDescent="0.2">
      <c r="A276" s="17"/>
      <c r="B276" s="4" t="s">
        <v>45</v>
      </c>
      <c r="C276" s="4" t="s">
        <v>118</v>
      </c>
      <c r="D276" s="4" t="s">
        <v>119</v>
      </c>
      <c r="E276" s="5">
        <v>45132</v>
      </c>
      <c r="F276" s="4" t="s">
        <v>521</v>
      </c>
      <c r="G276" s="4"/>
      <c r="H276" s="4" t="s">
        <v>522</v>
      </c>
      <c r="I276" s="4" t="s">
        <v>523</v>
      </c>
      <c r="J276" s="4" t="s">
        <v>524</v>
      </c>
      <c r="K276" s="6">
        <v>68019</v>
      </c>
      <c r="L276" s="6"/>
      <c r="M276" s="6">
        <f t="shared" si="5"/>
        <v>-223577.8000000001</v>
      </c>
      <c r="N276" s="4" t="s">
        <v>64</v>
      </c>
      <c r="O276" s="4" t="s">
        <v>92</v>
      </c>
      <c r="P276" s="4" t="s">
        <v>66</v>
      </c>
      <c r="Q276" s="4"/>
      <c r="R276" s="4" t="s">
        <v>0</v>
      </c>
      <c r="S276" s="4"/>
    </row>
    <row r="277" spans="1:19" x14ac:dyDescent="0.2">
      <c r="A277" s="17"/>
      <c r="B277" s="4" t="s">
        <v>45</v>
      </c>
      <c r="C277" s="4" t="s">
        <v>118</v>
      </c>
      <c r="D277" s="4" t="s">
        <v>119</v>
      </c>
      <c r="E277" s="5">
        <v>45132</v>
      </c>
      <c r="F277" s="4" t="s">
        <v>525</v>
      </c>
      <c r="G277" s="4"/>
      <c r="H277" s="4"/>
      <c r="I277" s="4" t="s">
        <v>526</v>
      </c>
      <c r="J277" s="4"/>
      <c r="K277" s="6"/>
      <c r="L277" s="6">
        <v>7977.9</v>
      </c>
      <c r="M277" s="6">
        <f t="shared" si="5"/>
        <v>-231555.7000000001</v>
      </c>
      <c r="N277" s="4" t="s">
        <v>64</v>
      </c>
      <c r="O277" s="4" t="s">
        <v>92</v>
      </c>
      <c r="P277" s="4" t="s">
        <v>66</v>
      </c>
      <c r="Q277" s="4"/>
      <c r="R277" s="4" t="s">
        <v>0</v>
      </c>
      <c r="S277" s="4"/>
    </row>
    <row r="278" spans="1:19" x14ac:dyDescent="0.2">
      <c r="A278" s="17"/>
      <c r="B278" s="4" t="s">
        <v>45</v>
      </c>
      <c r="C278" s="4" t="s">
        <v>118</v>
      </c>
      <c r="D278" s="4" t="s">
        <v>119</v>
      </c>
      <c r="E278" s="5">
        <v>45135</v>
      </c>
      <c r="F278" s="4" t="s">
        <v>527</v>
      </c>
      <c r="G278" s="4"/>
      <c r="H278" s="4"/>
      <c r="I278" s="4" t="s">
        <v>528</v>
      </c>
      <c r="J278" s="4" t="s">
        <v>385</v>
      </c>
      <c r="K278" s="6"/>
      <c r="L278" s="6">
        <v>27919.9</v>
      </c>
      <c r="M278" s="6">
        <f t="shared" si="5"/>
        <v>-259475.60000000009</v>
      </c>
      <c r="N278" s="4" t="s">
        <v>64</v>
      </c>
      <c r="O278" s="4" t="s">
        <v>65</v>
      </c>
      <c r="P278" s="4" t="s">
        <v>66</v>
      </c>
      <c r="Q278" s="4"/>
      <c r="R278" s="4" t="s">
        <v>0</v>
      </c>
      <c r="S278" s="4"/>
    </row>
    <row r="279" spans="1:19" x14ac:dyDescent="0.2">
      <c r="A279" s="17"/>
      <c r="B279" s="4" t="s">
        <v>45</v>
      </c>
      <c r="C279" s="4" t="s">
        <v>118</v>
      </c>
      <c r="D279" s="4" t="s">
        <v>119</v>
      </c>
      <c r="E279" s="5">
        <v>45135</v>
      </c>
      <c r="F279" s="4" t="s">
        <v>529</v>
      </c>
      <c r="G279" s="4"/>
      <c r="H279" s="4"/>
      <c r="I279" s="4" t="s">
        <v>530</v>
      </c>
      <c r="J279" s="4"/>
      <c r="K279" s="6"/>
      <c r="L279" s="6">
        <v>38000</v>
      </c>
      <c r="M279" s="6">
        <f t="shared" si="5"/>
        <v>-297475.60000000009</v>
      </c>
      <c r="N279" s="4" t="s">
        <v>64</v>
      </c>
      <c r="O279" s="4" t="s">
        <v>65</v>
      </c>
      <c r="P279" s="4" t="s">
        <v>66</v>
      </c>
      <c r="Q279" s="4"/>
      <c r="R279" s="4" t="s">
        <v>0</v>
      </c>
      <c r="S279" s="4"/>
    </row>
    <row r="280" spans="1:19" x14ac:dyDescent="0.2">
      <c r="A280" s="17"/>
      <c r="B280" s="4" t="s">
        <v>45</v>
      </c>
      <c r="C280" s="4" t="s">
        <v>118</v>
      </c>
      <c r="D280" s="4" t="s">
        <v>119</v>
      </c>
      <c r="E280" s="5">
        <v>45138</v>
      </c>
      <c r="F280" s="4" t="s">
        <v>531</v>
      </c>
      <c r="G280" s="4"/>
      <c r="H280" s="4"/>
      <c r="I280" s="4" t="s">
        <v>532</v>
      </c>
      <c r="J280" s="4" t="s">
        <v>532</v>
      </c>
      <c r="K280" s="6">
        <v>67255</v>
      </c>
      <c r="L280" s="6"/>
      <c r="M280" s="6">
        <f t="shared" si="5"/>
        <v>-230220.60000000009</v>
      </c>
      <c r="N280" s="4" t="s">
        <v>64</v>
      </c>
      <c r="O280" s="4" t="s">
        <v>92</v>
      </c>
      <c r="P280" s="4" t="s">
        <v>66</v>
      </c>
      <c r="Q280" s="4"/>
      <c r="R280" s="4" t="s">
        <v>0</v>
      </c>
      <c r="S280" s="4"/>
    </row>
    <row r="281" spans="1:19" x14ac:dyDescent="0.2">
      <c r="A281" s="17"/>
      <c r="B281" s="4" t="s">
        <v>45</v>
      </c>
      <c r="C281" s="4" t="s">
        <v>118</v>
      </c>
      <c r="D281" s="4" t="s">
        <v>119</v>
      </c>
      <c r="E281" s="5">
        <v>45140</v>
      </c>
      <c r="F281" s="4" t="s">
        <v>533</v>
      </c>
      <c r="G281" s="4"/>
      <c r="H281" s="4"/>
      <c r="I281" s="4" t="s">
        <v>534</v>
      </c>
      <c r="J281" s="4" t="s">
        <v>534</v>
      </c>
      <c r="K281" s="6">
        <v>38000</v>
      </c>
      <c r="L281" s="6"/>
      <c r="M281" s="6">
        <f t="shared" si="5"/>
        <v>-192220.60000000009</v>
      </c>
      <c r="N281" s="4" t="s">
        <v>64</v>
      </c>
      <c r="O281" s="4" t="s">
        <v>65</v>
      </c>
      <c r="P281" s="4" t="s">
        <v>66</v>
      </c>
      <c r="Q281" s="4"/>
      <c r="R281" s="4" t="s">
        <v>0</v>
      </c>
      <c r="S281" s="4"/>
    </row>
    <row r="282" spans="1:19" x14ac:dyDescent="0.2">
      <c r="A282" s="17"/>
      <c r="B282" s="4" t="s">
        <v>45</v>
      </c>
      <c r="C282" s="4" t="s">
        <v>118</v>
      </c>
      <c r="D282" s="4" t="s">
        <v>119</v>
      </c>
      <c r="E282" s="5">
        <v>45140</v>
      </c>
      <c r="F282" s="4" t="s">
        <v>535</v>
      </c>
      <c r="G282" s="4"/>
      <c r="H282" s="4"/>
      <c r="I282" s="4" t="s">
        <v>536</v>
      </c>
      <c r="J282" s="4" t="s">
        <v>536</v>
      </c>
      <c r="K282" s="6">
        <v>49308</v>
      </c>
      <c r="L282" s="6"/>
      <c r="M282" s="6">
        <f t="shared" si="5"/>
        <v>-142912.60000000009</v>
      </c>
      <c r="N282" s="4" t="s">
        <v>64</v>
      </c>
      <c r="O282" s="4" t="s">
        <v>92</v>
      </c>
      <c r="P282" s="4" t="s">
        <v>66</v>
      </c>
      <c r="Q282" s="4"/>
      <c r="R282" s="4" t="s">
        <v>0</v>
      </c>
      <c r="S282" s="4"/>
    </row>
    <row r="283" spans="1:19" x14ac:dyDescent="0.2">
      <c r="A283" s="17"/>
      <c r="B283" s="4" t="s">
        <v>45</v>
      </c>
      <c r="C283" s="4" t="s">
        <v>118</v>
      </c>
      <c r="D283" s="4" t="s">
        <v>119</v>
      </c>
      <c r="E283" s="5">
        <v>45140</v>
      </c>
      <c r="F283" s="4" t="s">
        <v>537</v>
      </c>
      <c r="G283" s="4"/>
      <c r="H283" s="4"/>
      <c r="I283" s="4" t="s">
        <v>493</v>
      </c>
      <c r="J283" s="4" t="s">
        <v>493</v>
      </c>
      <c r="K283" s="6"/>
      <c r="L283" s="6">
        <v>3687.98</v>
      </c>
      <c r="M283" s="6">
        <f t="shared" si="5"/>
        <v>-146600.5800000001</v>
      </c>
      <c r="N283" s="4" t="s">
        <v>64</v>
      </c>
      <c r="O283" s="4" t="s">
        <v>65</v>
      </c>
      <c r="P283" s="4" t="s">
        <v>66</v>
      </c>
      <c r="Q283" s="4"/>
      <c r="R283" s="4" t="s">
        <v>0</v>
      </c>
      <c r="S283" s="4"/>
    </row>
    <row r="284" spans="1:19" x14ac:dyDescent="0.2">
      <c r="A284" s="17"/>
      <c r="B284" s="4" t="s">
        <v>45</v>
      </c>
      <c r="C284" s="4" t="s">
        <v>118</v>
      </c>
      <c r="D284" s="4" t="s">
        <v>119</v>
      </c>
      <c r="E284" s="5">
        <v>45141</v>
      </c>
      <c r="F284" s="4" t="s">
        <v>103</v>
      </c>
      <c r="G284" s="4"/>
      <c r="H284" s="4"/>
      <c r="I284" s="4" t="s">
        <v>104</v>
      </c>
      <c r="J284" s="4" t="s">
        <v>104</v>
      </c>
      <c r="K284" s="6"/>
      <c r="L284" s="6">
        <v>5015.1000000000004</v>
      </c>
      <c r="M284" s="6">
        <f t="shared" si="5"/>
        <v>-151615.68000000011</v>
      </c>
      <c r="N284" s="4" t="s">
        <v>64</v>
      </c>
      <c r="O284" s="4" t="s">
        <v>65</v>
      </c>
      <c r="P284" s="4" t="s">
        <v>66</v>
      </c>
      <c r="Q284" s="4"/>
      <c r="R284" s="4" t="s">
        <v>0</v>
      </c>
      <c r="S284" s="4"/>
    </row>
    <row r="285" spans="1:19" x14ac:dyDescent="0.2">
      <c r="A285" s="17"/>
      <c r="B285" s="4" t="s">
        <v>45</v>
      </c>
      <c r="C285" s="4" t="s">
        <v>118</v>
      </c>
      <c r="D285" s="4" t="s">
        <v>119</v>
      </c>
      <c r="E285" s="5">
        <v>45141</v>
      </c>
      <c r="F285" s="4" t="s">
        <v>538</v>
      </c>
      <c r="G285" s="4"/>
      <c r="H285" s="4"/>
      <c r="I285" s="4" t="s">
        <v>539</v>
      </c>
      <c r="J285" s="4" t="s">
        <v>539</v>
      </c>
      <c r="K285" s="6"/>
      <c r="L285" s="6">
        <v>10136.66</v>
      </c>
      <c r="M285" s="6">
        <f t="shared" si="5"/>
        <v>-161752.34000000011</v>
      </c>
      <c r="N285" s="4" t="s">
        <v>64</v>
      </c>
      <c r="O285" s="4" t="s">
        <v>65</v>
      </c>
      <c r="P285" s="4" t="s">
        <v>66</v>
      </c>
      <c r="Q285" s="4"/>
      <c r="R285" s="4" t="s">
        <v>0</v>
      </c>
      <c r="S285" s="4"/>
    </row>
    <row r="286" spans="1:19" x14ac:dyDescent="0.2">
      <c r="A286" s="17"/>
      <c r="B286" s="4" t="s">
        <v>45</v>
      </c>
      <c r="C286" s="4" t="s">
        <v>118</v>
      </c>
      <c r="D286" s="4" t="s">
        <v>119</v>
      </c>
      <c r="E286" s="5">
        <v>45141</v>
      </c>
      <c r="F286" s="4" t="s">
        <v>105</v>
      </c>
      <c r="G286" s="4"/>
      <c r="H286" s="4"/>
      <c r="I286" s="4" t="s">
        <v>106</v>
      </c>
      <c r="J286" s="4" t="s">
        <v>106</v>
      </c>
      <c r="K286" s="6"/>
      <c r="L286" s="6">
        <v>2915.79</v>
      </c>
      <c r="M286" s="6">
        <f t="shared" si="5"/>
        <v>-164668.13000000012</v>
      </c>
      <c r="N286" s="4" t="s">
        <v>64</v>
      </c>
      <c r="O286" s="4" t="s">
        <v>65</v>
      </c>
      <c r="P286" s="4" t="s">
        <v>66</v>
      </c>
      <c r="Q286" s="4"/>
      <c r="R286" s="4" t="s">
        <v>0</v>
      </c>
      <c r="S286" s="4"/>
    </row>
    <row r="287" spans="1:19" x14ac:dyDescent="0.2">
      <c r="A287" s="17"/>
      <c r="B287" s="4" t="s">
        <v>45</v>
      </c>
      <c r="C287" s="4" t="s">
        <v>118</v>
      </c>
      <c r="D287" s="4" t="s">
        <v>119</v>
      </c>
      <c r="E287" s="5">
        <v>45148</v>
      </c>
      <c r="F287" s="4" t="s">
        <v>540</v>
      </c>
      <c r="G287" s="4"/>
      <c r="H287" s="4"/>
      <c r="I287" s="4" t="s">
        <v>541</v>
      </c>
      <c r="J287" s="4" t="s">
        <v>541</v>
      </c>
      <c r="K287" s="6"/>
      <c r="L287" s="6">
        <v>21021</v>
      </c>
      <c r="M287" s="6">
        <f t="shared" si="5"/>
        <v>-185689.13000000012</v>
      </c>
      <c r="N287" s="4" t="s">
        <v>64</v>
      </c>
      <c r="O287" s="4" t="s">
        <v>65</v>
      </c>
      <c r="P287" s="4" t="s">
        <v>66</v>
      </c>
      <c r="Q287" s="4"/>
      <c r="R287" s="4" t="s">
        <v>0</v>
      </c>
      <c r="S287" s="4"/>
    </row>
    <row r="288" spans="1:19" x14ac:dyDescent="0.2">
      <c r="A288" s="17"/>
      <c r="B288" s="4" t="s">
        <v>45</v>
      </c>
      <c r="C288" s="4" t="s">
        <v>118</v>
      </c>
      <c r="D288" s="4" t="s">
        <v>119</v>
      </c>
      <c r="E288" s="5">
        <v>45148</v>
      </c>
      <c r="F288" s="4" t="s">
        <v>542</v>
      </c>
      <c r="G288" s="4"/>
      <c r="H288" s="4"/>
      <c r="I288" s="4" t="s">
        <v>543</v>
      </c>
      <c r="J288" s="4" t="s">
        <v>543</v>
      </c>
      <c r="K288" s="6"/>
      <c r="L288" s="6">
        <v>2678</v>
      </c>
      <c r="M288" s="6">
        <f t="shared" si="5"/>
        <v>-188367.13000000012</v>
      </c>
      <c r="N288" s="4" t="s">
        <v>64</v>
      </c>
      <c r="O288" s="4" t="s">
        <v>65</v>
      </c>
      <c r="P288" s="4" t="s">
        <v>66</v>
      </c>
      <c r="Q288" s="4"/>
      <c r="R288" s="4" t="s">
        <v>0</v>
      </c>
      <c r="S288" s="4"/>
    </row>
    <row r="289" spans="1:19" x14ac:dyDescent="0.2">
      <c r="A289" s="17"/>
      <c r="B289" s="4" t="s">
        <v>45</v>
      </c>
      <c r="C289" s="4" t="s">
        <v>118</v>
      </c>
      <c r="D289" s="4" t="s">
        <v>119</v>
      </c>
      <c r="E289" s="5">
        <v>45148</v>
      </c>
      <c r="F289" s="4" t="s">
        <v>544</v>
      </c>
      <c r="G289" s="4"/>
      <c r="H289" s="4"/>
      <c r="I289" s="4" t="s">
        <v>545</v>
      </c>
      <c r="J289" s="4" t="s">
        <v>545</v>
      </c>
      <c r="K289" s="6"/>
      <c r="L289" s="6">
        <v>1999</v>
      </c>
      <c r="M289" s="6">
        <f t="shared" si="5"/>
        <v>-190366.13000000012</v>
      </c>
      <c r="N289" s="4" t="s">
        <v>64</v>
      </c>
      <c r="O289" s="4" t="s">
        <v>65</v>
      </c>
      <c r="P289" s="4" t="s">
        <v>66</v>
      </c>
      <c r="Q289" s="4"/>
      <c r="R289" s="4" t="s">
        <v>0</v>
      </c>
      <c r="S289" s="4"/>
    </row>
    <row r="290" spans="1:19" x14ac:dyDescent="0.2">
      <c r="A290" s="17"/>
      <c r="B290" s="4" t="s">
        <v>45</v>
      </c>
      <c r="C290" s="4" t="s">
        <v>118</v>
      </c>
      <c r="D290" s="4" t="s">
        <v>119</v>
      </c>
      <c r="E290" s="5">
        <v>45148</v>
      </c>
      <c r="F290" s="4" t="s">
        <v>546</v>
      </c>
      <c r="G290" s="4"/>
      <c r="H290" s="4"/>
      <c r="I290" s="4" t="s">
        <v>547</v>
      </c>
      <c r="J290" s="4" t="s">
        <v>547</v>
      </c>
      <c r="K290" s="6">
        <v>2678</v>
      </c>
      <c r="L290" s="6"/>
      <c r="M290" s="6">
        <f t="shared" si="5"/>
        <v>-187688.13000000012</v>
      </c>
      <c r="N290" s="4" t="s">
        <v>64</v>
      </c>
      <c r="O290" s="4" t="s">
        <v>65</v>
      </c>
      <c r="P290" s="4" t="s">
        <v>66</v>
      </c>
      <c r="Q290" s="4"/>
      <c r="R290" s="4" t="s">
        <v>0</v>
      </c>
      <c r="S290" s="4"/>
    </row>
    <row r="291" spans="1:19" x14ac:dyDescent="0.2">
      <c r="A291" s="17"/>
      <c r="B291" s="4" t="s">
        <v>45</v>
      </c>
      <c r="C291" s="4" t="s">
        <v>118</v>
      </c>
      <c r="D291" s="4" t="s">
        <v>119</v>
      </c>
      <c r="E291" s="5">
        <v>45148</v>
      </c>
      <c r="F291" s="4" t="s">
        <v>548</v>
      </c>
      <c r="G291" s="4"/>
      <c r="H291" s="4"/>
      <c r="I291" s="4" t="s">
        <v>549</v>
      </c>
      <c r="J291" s="4" t="s">
        <v>549</v>
      </c>
      <c r="K291" s="6"/>
      <c r="L291" s="6">
        <v>840</v>
      </c>
      <c r="M291" s="6">
        <f t="shared" si="5"/>
        <v>-188528.13000000012</v>
      </c>
      <c r="N291" s="4" t="s">
        <v>64</v>
      </c>
      <c r="O291" s="4" t="s">
        <v>65</v>
      </c>
      <c r="P291" s="4" t="s">
        <v>66</v>
      </c>
      <c r="Q291" s="4"/>
      <c r="R291" s="4" t="s">
        <v>0</v>
      </c>
      <c r="S291" s="4"/>
    </row>
    <row r="292" spans="1:19" x14ac:dyDescent="0.2">
      <c r="A292" s="17"/>
      <c r="B292" s="4" t="s">
        <v>45</v>
      </c>
      <c r="C292" s="4" t="s">
        <v>118</v>
      </c>
      <c r="D292" s="4" t="s">
        <v>119</v>
      </c>
      <c r="E292" s="5">
        <v>45160</v>
      </c>
      <c r="F292" s="4" t="s">
        <v>550</v>
      </c>
      <c r="G292" s="4"/>
      <c r="H292" s="4"/>
      <c r="I292" s="4" t="s">
        <v>551</v>
      </c>
      <c r="J292" s="4" t="s">
        <v>551</v>
      </c>
      <c r="K292" s="6">
        <v>10237</v>
      </c>
      <c r="L292" s="6"/>
      <c r="M292" s="6">
        <f t="shared" si="5"/>
        <v>-178291.13000000012</v>
      </c>
      <c r="N292" s="4" t="s">
        <v>64</v>
      </c>
      <c r="O292" s="4" t="s">
        <v>65</v>
      </c>
      <c r="P292" s="4" t="s">
        <v>66</v>
      </c>
      <c r="Q292" s="4"/>
      <c r="R292" s="4" t="s">
        <v>0</v>
      </c>
      <c r="S292" s="4"/>
    </row>
    <row r="293" spans="1:19" x14ac:dyDescent="0.2">
      <c r="A293" s="17"/>
      <c r="B293" s="4" t="s">
        <v>45</v>
      </c>
      <c r="C293" s="4" t="s">
        <v>118</v>
      </c>
      <c r="D293" s="4" t="s">
        <v>119</v>
      </c>
      <c r="E293" s="5">
        <v>45162</v>
      </c>
      <c r="F293" s="4" t="s">
        <v>552</v>
      </c>
      <c r="G293" s="4"/>
      <c r="H293" s="4"/>
      <c r="I293" s="4" t="s">
        <v>553</v>
      </c>
      <c r="J293" s="4"/>
      <c r="K293" s="6"/>
      <c r="L293" s="6">
        <v>28598.9</v>
      </c>
      <c r="M293" s="6">
        <f t="shared" si="5"/>
        <v>-206890.03000000012</v>
      </c>
      <c r="N293" s="4" t="s">
        <v>64</v>
      </c>
      <c r="O293" s="4" t="s">
        <v>65</v>
      </c>
      <c r="P293" s="4" t="s">
        <v>66</v>
      </c>
      <c r="Q293" s="4"/>
      <c r="R293" s="4" t="s">
        <v>0</v>
      </c>
      <c r="S293" s="4"/>
    </row>
    <row r="294" spans="1:19" x14ac:dyDescent="0.2">
      <c r="A294" s="17"/>
      <c r="B294" s="4" t="s">
        <v>45</v>
      </c>
      <c r="C294" s="4" t="s">
        <v>118</v>
      </c>
      <c r="D294" s="4" t="s">
        <v>119</v>
      </c>
      <c r="E294" s="5">
        <v>45163</v>
      </c>
      <c r="F294" s="4" t="s">
        <v>554</v>
      </c>
      <c r="G294" s="4"/>
      <c r="H294" s="4"/>
      <c r="I294" s="4" t="s">
        <v>555</v>
      </c>
      <c r="J294" s="4" t="s">
        <v>556</v>
      </c>
      <c r="K294" s="6">
        <v>1934.63</v>
      </c>
      <c r="L294" s="6"/>
      <c r="M294" s="6">
        <f t="shared" si="5"/>
        <v>-204955.40000000011</v>
      </c>
      <c r="N294" s="4" t="s">
        <v>64</v>
      </c>
      <c r="O294" s="4" t="s">
        <v>65</v>
      </c>
      <c r="P294" s="4" t="s">
        <v>66</v>
      </c>
      <c r="Q294" s="4"/>
      <c r="R294" s="4" t="s">
        <v>0</v>
      </c>
      <c r="S294" s="4"/>
    </row>
    <row r="295" spans="1:19" x14ac:dyDescent="0.2">
      <c r="A295" s="17"/>
      <c r="B295" s="4" t="s">
        <v>45</v>
      </c>
      <c r="C295" s="4" t="s">
        <v>118</v>
      </c>
      <c r="D295" s="4" t="s">
        <v>119</v>
      </c>
      <c r="E295" s="5">
        <v>45163</v>
      </c>
      <c r="F295" s="4" t="s">
        <v>557</v>
      </c>
      <c r="G295" s="4"/>
      <c r="H295" s="4"/>
      <c r="I295" s="4" t="s">
        <v>558</v>
      </c>
      <c r="J295" s="4" t="s">
        <v>558</v>
      </c>
      <c r="K295" s="6"/>
      <c r="L295" s="6">
        <v>683.41</v>
      </c>
      <c r="M295" s="6">
        <f t="shared" si="5"/>
        <v>-205638.81000000011</v>
      </c>
      <c r="N295" s="4" t="s">
        <v>64</v>
      </c>
      <c r="O295" s="4" t="s">
        <v>65</v>
      </c>
      <c r="P295" s="4" t="s">
        <v>66</v>
      </c>
      <c r="Q295" s="4"/>
      <c r="R295" s="4" t="s">
        <v>0</v>
      </c>
      <c r="S295" s="4"/>
    </row>
    <row r="296" spans="1:19" x14ac:dyDescent="0.2">
      <c r="A296" s="17"/>
      <c r="B296" s="4" t="s">
        <v>45</v>
      </c>
      <c r="C296" s="4" t="s">
        <v>118</v>
      </c>
      <c r="D296" s="4" t="s">
        <v>119</v>
      </c>
      <c r="E296" s="5">
        <v>45163</v>
      </c>
      <c r="F296" s="4" t="s">
        <v>559</v>
      </c>
      <c r="G296" s="4"/>
      <c r="H296" s="4"/>
      <c r="I296" s="4" t="s">
        <v>560</v>
      </c>
      <c r="J296" s="4" t="s">
        <v>558</v>
      </c>
      <c r="K296" s="6">
        <v>683.41</v>
      </c>
      <c r="L296" s="6"/>
      <c r="M296" s="6">
        <f t="shared" si="5"/>
        <v>-204955.40000000011</v>
      </c>
      <c r="N296" s="4" t="s">
        <v>64</v>
      </c>
      <c r="O296" s="4" t="s">
        <v>65</v>
      </c>
      <c r="P296" s="4" t="s">
        <v>66</v>
      </c>
      <c r="Q296" s="4"/>
      <c r="R296" s="4" t="s">
        <v>0</v>
      </c>
      <c r="S296" s="4"/>
    </row>
    <row r="297" spans="1:19" x14ac:dyDescent="0.2">
      <c r="A297" s="17"/>
      <c r="B297" s="4" t="s">
        <v>45</v>
      </c>
      <c r="C297" s="4" t="s">
        <v>118</v>
      </c>
      <c r="D297" s="4" t="s">
        <v>119</v>
      </c>
      <c r="E297" s="5">
        <v>45163</v>
      </c>
      <c r="F297" s="4" t="s">
        <v>561</v>
      </c>
      <c r="G297" s="4"/>
      <c r="H297" s="4"/>
      <c r="I297" s="4" t="s">
        <v>556</v>
      </c>
      <c r="J297" s="4" t="s">
        <v>556</v>
      </c>
      <c r="K297" s="6"/>
      <c r="L297" s="6">
        <v>1932</v>
      </c>
      <c r="M297" s="6">
        <f t="shared" si="5"/>
        <v>-206887.40000000011</v>
      </c>
      <c r="N297" s="4" t="s">
        <v>64</v>
      </c>
      <c r="O297" s="4" t="s">
        <v>65</v>
      </c>
      <c r="P297" s="4" t="s">
        <v>66</v>
      </c>
      <c r="Q297" s="4"/>
      <c r="R297" s="4" t="s">
        <v>0</v>
      </c>
      <c r="S297" s="4"/>
    </row>
    <row r="298" spans="1:19" x14ac:dyDescent="0.2">
      <c r="A298" s="17"/>
      <c r="B298" s="4" t="s">
        <v>45</v>
      </c>
      <c r="C298" s="4" t="s">
        <v>118</v>
      </c>
      <c r="D298" s="4" t="s">
        <v>119</v>
      </c>
      <c r="E298" s="5">
        <v>45163</v>
      </c>
      <c r="F298" s="4" t="s">
        <v>562</v>
      </c>
      <c r="G298" s="4"/>
      <c r="H298" s="4"/>
      <c r="I298" s="4" t="s">
        <v>563</v>
      </c>
      <c r="J298" s="4" t="s">
        <v>564</v>
      </c>
      <c r="K298" s="6">
        <v>683.41</v>
      </c>
      <c r="L298" s="6"/>
      <c r="M298" s="6">
        <f t="shared" si="5"/>
        <v>-206203.99000000011</v>
      </c>
      <c r="N298" s="4" t="s">
        <v>64</v>
      </c>
      <c r="O298" s="4" t="s">
        <v>65</v>
      </c>
      <c r="P298" s="4" t="s">
        <v>66</v>
      </c>
      <c r="Q298" s="4"/>
      <c r="R298" s="4" t="s">
        <v>0</v>
      </c>
      <c r="S298" s="4"/>
    </row>
    <row r="299" spans="1:19" x14ac:dyDescent="0.2">
      <c r="A299" s="17"/>
      <c r="B299" s="4" t="s">
        <v>45</v>
      </c>
      <c r="C299" s="4" t="s">
        <v>118</v>
      </c>
      <c r="D299" s="4" t="s">
        <v>119</v>
      </c>
      <c r="E299" s="5">
        <v>45167</v>
      </c>
      <c r="F299" s="4" t="s">
        <v>565</v>
      </c>
      <c r="G299" s="4"/>
      <c r="H299" s="4"/>
      <c r="I299" s="4" t="s">
        <v>566</v>
      </c>
      <c r="J299" s="4" t="s">
        <v>567</v>
      </c>
      <c r="K299" s="6">
        <v>4068.46</v>
      </c>
      <c r="L299" s="6"/>
      <c r="M299" s="6">
        <f t="shared" si="5"/>
        <v>-202135.53000000012</v>
      </c>
      <c r="N299" s="4" t="s">
        <v>64</v>
      </c>
      <c r="O299" s="4" t="s">
        <v>65</v>
      </c>
      <c r="P299" s="4" t="s">
        <v>66</v>
      </c>
      <c r="Q299" s="4"/>
      <c r="R299" s="4" t="s">
        <v>0</v>
      </c>
      <c r="S299" s="4"/>
    </row>
    <row r="300" spans="1:19" x14ac:dyDescent="0.2">
      <c r="A300" s="17"/>
      <c r="B300" s="4" t="s">
        <v>45</v>
      </c>
      <c r="C300" s="4" t="s">
        <v>118</v>
      </c>
      <c r="D300" s="4" t="s">
        <v>119</v>
      </c>
      <c r="E300" s="5">
        <v>45167</v>
      </c>
      <c r="F300" s="4" t="s">
        <v>568</v>
      </c>
      <c r="G300" s="4"/>
      <c r="H300" s="4"/>
      <c r="I300" s="4" t="s">
        <v>567</v>
      </c>
      <c r="J300" s="4" t="s">
        <v>567</v>
      </c>
      <c r="K300" s="6"/>
      <c r="L300" s="6">
        <v>4068.46</v>
      </c>
      <c r="M300" s="6">
        <f t="shared" si="5"/>
        <v>-206203.99000000011</v>
      </c>
      <c r="N300" s="4" t="s">
        <v>64</v>
      </c>
      <c r="O300" s="4" t="s">
        <v>65</v>
      </c>
      <c r="P300" s="4" t="s">
        <v>66</v>
      </c>
      <c r="Q300" s="4"/>
      <c r="R300" s="4" t="s">
        <v>0</v>
      </c>
      <c r="S300" s="4"/>
    </row>
    <row r="301" spans="1:19" x14ac:dyDescent="0.2">
      <c r="A301" s="17"/>
      <c r="B301" s="4" t="s">
        <v>45</v>
      </c>
      <c r="C301" s="4" t="s">
        <v>118</v>
      </c>
      <c r="D301" s="4" t="s">
        <v>119</v>
      </c>
      <c r="E301" s="5">
        <v>45169</v>
      </c>
      <c r="F301" s="4" t="s">
        <v>569</v>
      </c>
      <c r="G301" s="4"/>
      <c r="H301" s="4"/>
      <c r="I301" s="4" t="s">
        <v>570</v>
      </c>
      <c r="J301" s="4" t="s">
        <v>570</v>
      </c>
      <c r="K301" s="6">
        <v>4410</v>
      </c>
      <c r="L301" s="6"/>
      <c r="M301" s="6">
        <f t="shared" si="5"/>
        <v>-201793.99000000011</v>
      </c>
      <c r="N301" s="4" t="s">
        <v>64</v>
      </c>
      <c r="O301" s="4" t="s">
        <v>65</v>
      </c>
      <c r="P301" s="4" t="s">
        <v>66</v>
      </c>
      <c r="Q301" s="4"/>
      <c r="R301" s="4" t="s">
        <v>0</v>
      </c>
      <c r="S301" s="4"/>
    </row>
    <row r="302" spans="1:19" x14ac:dyDescent="0.2">
      <c r="A302" s="17"/>
      <c r="B302" s="4" t="s">
        <v>45</v>
      </c>
      <c r="C302" s="4" t="s">
        <v>118</v>
      </c>
      <c r="D302" s="4" t="s">
        <v>119</v>
      </c>
      <c r="E302" s="5">
        <v>45169</v>
      </c>
      <c r="F302" s="4" t="s">
        <v>571</v>
      </c>
      <c r="G302" s="4"/>
      <c r="H302" s="4"/>
      <c r="I302" s="4" t="s">
        <v>572</v>
      </c>
      <c r="J302" s="4" t="s">
        <v>573</v>
      </c>
      <c r="K302" s="6"/>
      <c r="L302" s="6">
        <v>9730</v>
      </c>
      <c r="M302" s="6">
        <f t="shared" si="5"/>
        <v>-211523.99000000011</v>
      </c>
      <c r="N302" s="4" t="s">
        <v>64</v>
      </c>
      <c r="O302" s="4" t="s">
        <v>65</v>
      </c>
      <c r="P302" s="4" t="s">
        <v>66</v>
      </c>
      <c r="Q302" s="4"/>
      <c r="R302" s="4" t="s">
        <v>0</v>
      </c>
      <c r="S302" s="4"/>
    </row>
    <row r="303" spans="1:19" x14ac:dyDescent="0.2">
      <c r="A303" s="17"/>
      <c r="B303" s="4" t="s">
        <v>45</v>
      </c>
      <c r="C303" s="4" t="s">
        <v>118</v>
      </c>
      <c r="D303" s="4" t="s">
        <v>119</v>
      </c>
      <c r="E303" s="5">
        <v>45170</v>
      </c>
      <c r="F303" s="4" t="s">
        <v>574</v>
      </c>
      <c r="G303" s="4"/>
      <c r="H303" s="4"/>
      <c r="I303" s="4" t="s">
        <v>575</v>
      </c>
      <c r="J303" s="4" t="s">
        <v>575</v>
      </c>
      <c r="K303" s="6"/>
      <c r="L303" s="6">
        <v>131250</v>
      </c>
      <c r="M303" s="6">
        <f t="shared" si="5"/>
        <v>-342773.99000000011</v>
      </c>
      <c r="N303" s="4" t="s">
        <v>64</v>
      </c>
      <c r="O303" s="4" t="s">
        <v>65</v>
      </c>
      <c r="P303" s="4" t="s">
        <v>66</v>
      </c>
      <c r="Q303" s="4"/>
      <c r="R303" s="4" t="s">
        <v>0</v>
      </c>
      <c r="S303" s="4"/>
    </row>
    <row r="304" spans="1:19" x14ac:dyDescent="0.2">
      <c r="A304" s="17"/>
      <c r="B304" s="4" t="s">
        <v>45</v>
      </c>
      <c r="C304" s="4" t="s">
        <v>118</v>
      </c>
      <c r="D304" s="4" t="s">
        <v>119</v>
      </c>
      <c r="E304" s="5">
        <v>45170</v>
      </c>
      <c r="F304" s="4" t="s">
        <v>576</v>
      </c>
      <c r="G304" s="4"/>
      <c r="H304" s="4"/>
      <c r="I304" s="4" t="s">
        <v>577</v>
      </c>
      <c r="J304" s="4" t="s">
        <v>577</v>
      </c>
      <c r="K304" s="6">
        <v>131250</v>
      </c>
      <c r="L304" s="6"/>
      <c r="M304" s="6">
        <f t="shared" si="5"/>
        <v>-211523.99000000011</v>
      </c>
      <c r="N304" s="4" t="s">
        <v>64</v>
      </c>
      <c r="O304" s="4" t="s">
        <v>65</v>
      </c>
      <c r="P304" s="4" t="s">
        <v>66</v>
      </c>
      <c r="Q304" s="4"/>
      <c r="R304" s="4" t="s">
        <v>0</v>
      </c>
      <c r="S304" s="4"/>
    </row>
    <row r="305" spans="1:19" x14ac:dyDescent="0.2">
      <c r="A305" s="17"/>
      <c r="B305" s="4" t="s">
        <v>45</v>
      </c>
      <c r="C305" s="4" t="s">
        <v>118</v>
      </c>
      <c r="D305" s="4" t="s">
        <v>119</v>
      </c>
      <c r="E305" s="5">
        <v>45170</v>
      </c>
      <c r="F305" s="4" t="s">
        <v>578</v>
      </c>
      <c r="G305" s="4"/>
      <c r="H305" s="4"/>
      <c r="I305" s="4" t="s">
        <v>579</v>
      </c>
      <c r="J305" s="4" t="s">
        <v>579</v>
      </c>
      <c r="K305" s="6"/>
      <c r="L305" s="6">
        <v>2006.55</v>
      </c>
      <c r="M305" s="6">
        <f t="shared" si="5"/>
        <v>-213530.5400000001</v>
      </c>
      <c r="N305" s="4" t="s">
        <v>64</v>
      </c>
      <c r="O305" s="4" t="s">
        <v>65</v>
      </c>
      <c r="P305" s="4" t="s">
        <v>66</v>
      </c>
      <c r="Q305" s="4"/>
      <c r="R305" s="4" t="s">
        <v>0</v>
      </c>
      <c r="S305" s="4"/>
    </row>
    <row r="306" spans="1:19" x14ac:dyDescent="0.2">
      <c r="A306" s="17"/>
      <c r="B306" s="4" t="s">
        <v>45</v>
      </c>
      <c r="C306" s="4" t="s">
        <v>118</v>
      </c>
      <c r="D306" s="4" t="s">
        <v>119</v>
      </c>
      <c r="E306" s="5">
        <v>45171</v>
      </c>
      <c r="F306" s="4" t="s">
        <v>580</v>
      </c>
      <c r="G306" s="4"/>
      <c r="H306" s="4"/>
      <c r="I306" s="4" t="s">
        <v>581</v>
      </c>
      <c r="J306" s="4" t="s">
        <v>581</v>
      </c>
      <c r="K306" s="6"/>
      <c r="L306" s="6">
        <v>16163.7</v>
      </c>
      <c r="M306" s="6">
        <f t="shared" si="5"/>
        <v>-229694.24000000011</v>
      </c>
      <c r="N306" s="4" t="s">
        <v>64</v>
      </c>
      <c r="O306" s="4" t="s">
        <v>65</v>
      </c>
      <c r="P306" s="4" t="s">
        <v>66</v>
      </c>
      <c r="Q306" s="4"/>
      <c r="R306" s="4" t="s">
        <v>0</v>
      </c>
      <c r="S306" s="4"/>
    </row>
    <row r="307" spans="1:19" x14ac:dyDescent="0.2">
      <c r="A307" s="17"/>
      <c r="B307" s="4" t="s">
        <v>45</v>
      </c>
      <c r="C307" s="4" t="s">
        <v>118</v>
      </c>
      <c r="D307" s="4" t="s">
        <v>119</v>
      </c>
      <c r="E307" s="5">
        <v>45175</v>
      </c>
      <c r="F307" s="4" t="s">
        <v>582</v>
      </c>
      <c r="G307" s="4"/>
      <c r="H307" s="4"/>
      <c r="I307" s="4" t="s">
        <v>583</v>
      </c>
      <c r="J307" s="4" t="s">
        <v>584</v>
      </c>
      <c r="K307" s="6">
        <v>4485</v>
      </c>
      <c r="L307" s="6"/>
      <c r="M307" s="6">
        <f t="shared" si="5"/>
        <v>-225209.24000000011</v>
      </c>
      <c r="N307" s="4" t="s">
        <v>64</v>
      </c>
      <c r="O307" s="4" t="s">
        <v>65</v>
      </c>
      <c r="P307" s="4" t="s">
        <v>66</v>
      </c>
      <c r="Q307" s="4"/>
      <c r="R307" s="4" t="s">
        <v>0</v>
      </c>
      <c r="S307" s="4"/>
    </row>
    <row r="308" spans="1:19" x14ac:dyDescent="0.2">
      <c r="A308" s="17"/>
      <c r="B308" s="4" t="s">
        <v>45</v>
      </c>
      <c r="C308" s="4" t="s">
        <v>118</v>
      </c>
      <c r="D308" s="4" t="s">
        <v>119</v>
      </c>
      <c r="E308" s="5">
        <v>45175</v>
      </c>
      <c r="F308" s="4" t="s">
        <v>585</v>
      </c>
      <c r="G308" s="4"/>
      <c r="H308" s="4"/>
      <c r="I308" s="4" t="s">
        <v>584</v>
      </c>
      <c r="J308" s="4" t="s">
        <v>584</v>
      </c>
      <c r="K308" s="6"/>
      <c r="L308" s="6">
        <v>4485</v>
      </c>
      <c r="M308" s="6">
        <f t="shared" si="5"/>
        <v>-229694.24000000011</v>
      </c>
      <c r="N308" s="4" t="s">
        <v>64</v>
      </c>
      <c r="O308" s="4" t="s">
        <v>65</v>
      </c>
      <c r="P308" s="4" t="s">
        <v>66</v>
      </c>
      <c r="Q308" s="4"/>
      <c r="R308" s="4" t="s">
        <v>0</v>
      </c>
      <c r="S308" s="4"/>
    </row>
    <row r="309" spans="1:19" x14ac:dyDescent="0.2">
      <c r="A309" s="17"/>
      <c r="B309" s="4" t="s">
        <v>45</v>
      </c>
      <c r="C309" s="4" t="s">
        <v>118</v>
      </c>
      <c r="D309" s="4" t="s">
        <v>119</v>
      </c>
      <c r="E309" s="5">
        <v>45177</v>
      </c>
      <c r="F309" s="4" t="s">
        <v>586</v>
      </c>
      <c r="G309" s="4"/>
      <c r="H309" s="4"/>
      <c r="I309" s="4" t="s">
        <v>587</v>
      </c>
      <c r="J309" s="4" t="s">
        <v>587</v>
      </c>
      <c r="K309" s="6">
        <v>127000</v>
      </c>
      <c r="L309" s="6"/>
      <c r="M309" s="6">
        <f t="shared" si="5"/>
        <v>-102694.24000000011</v>
      </c>
      <c r="N309" s="4" t="s">
        <v>64</v>
      </c>
      <c r="O309" s="4" t="s">
        <v>65</v>
      </c>
      <c r="P309" s="4" t="s">
        <v>66</v>
      </c>
      <c r="Q309" s="4"/>
      <c r="R309" s="4" t="s">
        <v>0</v>
      </c>
      <c r="S309" s="4"/>
    </row>
    <row r="310" spans="1:19" x14ac:dyDescent="0.2">
      <c r="A310" s="17"/>
      <c r="B310" s="4" t="s">
        <v>45</v>
      </c>
      <c r="C310" s="4" t="s">
        <v>118</v>
      </c>
      <c r="D310" s="4" t="s">
        <v>119</v>
      </c>
      <c r="E310" s="5">
        <v>45179</v>
      </c>
      <c r="F310" s="4" t="s">
        <v>588</v>
      </c>
      <c r="G310" s="4"/>
      <c r="H310" s="4"/>
      <c r="I310" s="4" t="s">
        <v>589</v>
      </c>
      <c r="J310" s="4" t="s">
        <v>589</v>
      </c>
      <c r="K310" s="6"/>
      <c r="L310" s="6">
        <v>369</v>
      </c>
      <c r="M310" s="6">
        <f t="shared" si="5"/>
        <v>-103063.24000000011</v>
      </c>
      <c r="N310" s="4" t="s">
        <v>64</v>
      </c>
      <c r="O310" s="4" t="s">
        <v>92</v>
      </c>
      <c r="P310" s="4" t="s">
        <v>66</v>
      </c>
      <c r="Q310" s="4"/>
      <c r="R310" s="4" t="s">
        <v>0</v>
      </c>
      <c r="S310" s="4"/>
    </row>
    <row r="311" spans="1:19" x14ac:dyDescent="0.2">
      <c r="A311" s="17"/>
      <c r="B311" s="4" t="s">
        <v>45</v>
      </c>
      <c r="C311" s="4" t="s">
        <v>118</v>
      </c>
      <c r="D311" s="4" t="s">
        <v>119</v>
      </c>
      <c r="E311" s="5">
        <v>45180</v>
      </c>
      <c r="F311" s="4" t="s">
        <v>590</v>
      </c>
      <c r="G311" s="4"/>
      <c r="H311" s="4"/>
      <c r="I311" s="4" t="s">
        <v>591</v>
      </c>
      <c r="J311" s="4" t="s">
        <v>591</v>
      </c>
      <c r="K311" s="6"/>
      <c r="L311" s="6">
        <v>127000</v>
      </c>
      <c r="M311" s="6">
        <f t="shared" si="5"/>
        <v>-230063.24000000011</v>
      </c>
      <c r="N311" s="4" t="s">
        <v>64</v>
      </c>
      <c r="O311" s="4" t="s">
        <v>65</v>
      </c>
      <c r="P311" s="4" t="s">
        <v>66</v>
      </c>
      <c r="Q311" s="4"/>
      <c r="R311" s="4" t="s">
        <v>0</v>
      </c>
      <c r="S311" s="4"/>
    </row>
    <row r="312" spans="1:19" x14ac:dyDescent="0.2">
      <c r="A312" s="17"/>
      <c r="B312" s="4" t="s">
        <v>45</v>
      </c>
      <c r="C312" s="4" t="s">
        <v>118</v>
      </c>
      <c r="D312" s="4" t="s">
        <v>119</v>
      </c>
      <c r="E312" s="5">
        <v>45181</v>
      </c>
      <c r="F312" s="4" t="s">
        <v>592</v>
      </c>
      <c r="G312" s="4"/>
      <c r="H312" s="4"/>
      <c r="I312" s="4" t="s">
        <v>593</v>
      </c>
      <c r="J312" s="4" t="s">
        <v>594</v>
      </c>
      <c r="K312" s="6">
        <v>72765</v>
      </c>
      <c r="L312" s="6"/>
      <c r="M312" s="6">
        <f t="shared" si="5"/>
        <v>-157298.24000000011</v>
      </c>
      <c r="N312" s="4" t="s">
        <v>64</v>
      </c>
      <c r="O312" s="4" t="s">
        <v>65</v>
      </c>
      <c r="P312" s="4" t="s">
        <v>66</v>
      </c>
      <c r="Q312" s="4"/>
      <c r="R312" s="4" t="s">
        <v>0</v>
      </c>
      <c r="S312" s="4"/>
    </row>
    <row r="313" spans="1:19" x14ac:dyDescent="0.2">
      <c r="A313" s="17"/>
      <c r="B313" s="4" t="s">
        <v>45</v>
      </c>
      <c r="C313" s="4" t="s">
        <v>118</v>
      </c>
      <c r="D313" s="4" t="s">
        <v>119</v>
      </c>
      <c r="E313" s="5">
        <v>45181</v>
      </c>
      <c r="F313" s="4" t="s">
        <v>595</v>
      </c>
      <c r="G313" s="4"/>
      <c r="H313" s="4"/>
      <c r="I313" s="4" t="s">
        <v>596</v>
      </c>
      <c r="J313" s="4" t="s">
        <v>597</v>
      </c>
      <c r="K313" s="6">
        <v>497.96</v>
      </c>
      <c r="L313" s="6"/>
      <c r="M313" s="6">
        <f t="shared" si="5"/>
        <v>-156800.28000000012</v>
      </c>
      <c r="N313" s="4" t="s">
        <v>64</v>
      </c>
      <c r="O313" s="4" t="s">
        <v>65</v>
      </c>
      <c r="P313" s="4" t="s">
        <v>66</v>
      </c>
      <c r="Q313" s="4"/>
      <c r="R313" s="4" t="s">
        <v>0</v>
      </c>
      <c r="S313" s="4"/>
    </row>
    <row r="314" spans="1:19" x14ac:dyDescent="0.2">
      <c r="A314" s="17"/>
      <c r="B314" s="4" t="s">
        <v>45</v>
      </c>
      <c r="C314" s="4" t="s">
        <v>118</v>
      </c>
      <c r="D314" s="4" t="s">
        <v>119</v>
      </c>
      <c r="E314" s="5">
        <v>45181</v>
      </c>
      <c r="F314" s="4" t="s">
        <v>598</v>
      </c>
      <c r="G314" s="4"/>
      <c r="H314" s="4"/>
      <c r="I314" s="4" t="s">
        <v>593</v>
      </c>
      <c r="J314" s="4" t="s">
        <v>593</v>
      </c>
      <c r="K314" s="6">
        <v>6142.5</v>
      </c>
      <c r="L314" s="6"/>
      <c r="M314" s="6">
        <f t="shared" si="5"/>
        <v>-150657.78000000012</v>
      </c>
      <c r="N314" s="4" t="s">
        <v>64</v>
      </c>
      <c r="O314" s="4" t="s">
        <v>65</v>
      </c>
      <c r="P314" s="4" t="s">
        <v>66</v>
      </c>
      <c r="Q314" s="4"/>
      <c r="R314" s="4" t="s">
        <v>0</v>
      </c>
      <c r="S314" s="4"/>
    </row>
    <row r="315" spans="1:19" x14ac:dyDescent="0.2">
      <c r="A315" s="17"/>
      <c r="B315" s="4" t="s">
        <v>45</v>
      </c>
      <c r="C315" s="4" t="s">
        <v>118</v>
      </c>
      <c r="D315" s="4" t="s">
        <v>119</v>
      </c>
      <c r="E315" s="5">
        <v>45181</v>
      </c>
      <c r="F315" s="4" t="s">
        <v>599</v>
      </c>
      <c r="G315" s="4"/>
      <c r="H315" s="4"/>
      <c r="I315" s="4" t="s">
        <v>597</v>
      </c>
      <c r="J315" s="4" t="s">
        <v>597</v>
      </c>
      <c r="K315" s="6"/>
      <c r="L315" s="6">
        <v>497.96</v>
      </c>
      <c r="M315" s="6">
        <f t="shared" si="5"/>
        <v>-151155.74000000011</v>
      </c>
      <c r="N315" s="4" t="s">
        <v>64</v>
      </c>
      <c r="O315" s="4" t="s">
        <v>65</v>
      </c>
      <c r="P315" s="4" t="s">
        <v>66</v>
      </c>
      <c r="Q315" s="4"/>
      <c r="R315" s="4" t="s">
        <v>0</v>
      </c>
      <c r="S315" s="4"/>
    </row>
    <row r="316" spans="1:19" x14ac:dyDescent="0.2">
      <c r="A316" s="17"/>
      <c r="B316" s="4" t="s">
        <v>45</v>
      </c>
      <c r="C316" s="4" t="s">
        <v>118</v>
      </c>
      <c r="D316" s="4" t="s">
        <v>119</v>
      </c>
      <c r="E316" s="5">
        <v>45182</v>
      </c>
      <c r="F316" s="4" t="s">
        <v>600</v>
      </c>
      <c r="G316" s="4"/>
      <c r="H316" s="4"/>
      <c r="I316" s="4" t="s">
        <v>601</v>
      </c>
      <c r="J316" s="4" t="s">
        <v>601</v>
      </c>
      <c r="K316" s="6"/>
      <c r="L316" s="6">
        <v>5068.33</v>
      </c>
      <c r="M316" s="6">
        <f t="shared" si="5"/>
        <v>-156224.07000000009</v>
      </c>
      <c r="N316" s="4" t="s">
        <v>64</v>
      </c>
      <c r="O316" s="4" t="s">
        <v>65</v>
      </c>
      <c r="P316" s="4" t="s">
        <v>66</v>
      </c>
      <c r="Q316" s="4"/>
      <c r="R316" s="4" t="s">
        <v>0</v>
      </c>
      <c r="S316" s="4"/>
    </row>
    <row r="317" spans="1:19" x14ac:dyDescent="0.2">
      <c r="A317" s="17"/>
      <c r="B317" s="4" t="s">
        <v>45</v>
      </c>
      <c r="C317" s="4" t="s">
        <v>118</v>
      </c>
      <c r="D317" s="4" t="s">
        <v>119</v>
      </c>
      <c r="E317" s="5">
        <v>45184</v>
      </c>
      <c r="F317" s="4" t="s">
        <v>602</v>
      </c>
      <c r="G317" s="4"/>
      <c r="H317" s="4"/>
      <c r="I317" s="4" t="s">
        <v>603</v>
      </c>
      <c r="J317" s="4" t="s">
        <v>603</v>
      </c>
      <c r="K317" s="6"/>
      <c r="L317" s="6">
        <v>100000</v>
      </c>
      <c r="M317" s="6">
        <f t="shared" si="5"/>
        <v>-256224.07000000009</v>
      </c>
      <c r="N317" s="4" t="s">
        <v>64</v>
      </c>
      <c r="O317" s="4" t="s">
        <v>65</v>
      </c>
      <c r="P317" s="4" t="s">
        <v>66</v>
      </c>
      <c r="Q317" s="4"/>
      <c r="R317" s="4" t="s">
        <v>0</v>
      </c>
      <c r="S317" s="4"/>
    </row>
    <row r="318" spans="1:19" x14ac:dyDescent="0.2">
      <c r="A318" s="17"/>
      <c r="B318" s="4" t="s">
        <v>45</v>
      </c>
      <c r="C318" s="4" t="s">
        <v>118</v>
      </c>
      <c r="D318" s="4" t="s">
        <v>119</v>
      </c>
      <c r="E318" s="5">
        <v>45184</v>
      </c>
      <c r="F318" s="4" t="s">
        <v>604</v>
      </c>
      <c r="G318" s="4"/>
      <c r="H318" s="4"/>
      <c r="I318" s="4" t="s">
        <v>605</v>
      </c>
      <c r="J318" s="4" t="s">
        <v>605</v>
      </c>
      <c r="K318" s="6">
        <v>19630</v>
      </c>
      <c r="L318" s="6"/>
      <c r="M318" s="6">
        <f t="shared" si="5"/>
        <v>-236594.07000000009</v>
      </c>
      <c r="N318" s="4" t="s">
        <v>64</v>
      </c>
      <c r="O318" s="4" t="s">
        <v>65</v>
      </c>
      <c r="P318" s="4" t="s">
        <v>66</v>
      </c>
      <c r="Q318" s="4"/>
      <c r="R318" s="4" t="s">
        <v>0</v>
      </c>
      <c r="S318" s="4"/>
    </row>
    <row r="319" spans="1:19" x14ac:dyDescent="0.2">
      <c r="A319" s="17"/>
      <c r="B319" s="4" t="s">
        <v>45</v>
      </c>
      <c r="C319" s="4" t="s">
        <v>118</v>
      </c>
      <c r="D319" s="4" t="s">
        <v>119</v>
      </c>
      <c r="E319" s="5">
        <v>45187</v>
      </c>
      <c r="F319" s="4" t="s">
        <v>110</v>
      </c>
      <c r="G319" s="4"/>
      <c r="H319" s="4"/>
      <c r="I319" s="4" t="s">
        <v>111</v>
      </c>
      <c r="J319" s="4" t="s">
        <v>111</v>
      </c>
      <c r="K319" s="6"/>
      <c r="L319" s="6">
        <v>11878.7</v>
      </c>
      <c r="M319" s="6">
        <f t="shared" si="5"/>
        <v>-248472.77000000011</v>
      </c>
      <c r="N319" s="4" t="s">
        <v>64</v>
      </c>
      <c r="O319" s="4" t="s">
        <v>92</v>
      </c>
      <c r="P319" s="4" t="s">
        <v>66</v>
      </c>
      <c r="Q319" s="4"/>
      <c r="R319" s="4" t="s">
        <v>0</v>
      </c>
      <c r="S319" s="4"/>
    </row>
    <row r="320" spans="1:19" x14ac:dyDescent="0.2">
      <c r="A320" s="17"/>
      <c r="B320" s="4" t="s">
        <v>45</v>
      </c>
      <c r="C320" s="4" t="s">
        <v>118</v>
      </c>
      <c r="D320" s="4" t="s">
        <v>119</v>
      </c>
      <c r="E320" s="5">
        <v>45188</v>
      </c>
      <c r="F320" s="4" t="s">
        <v>606</v>
      </c>
      <c r="G320" s="4"/>
      <c r="H320" s="4"/>
      <c r="I320" s="4" t="s">
        <v>367</v>
      </c>
      <c r="J320" s="4" t="s">
        <v>367</v>
      </c>
      <c r="K320" s="6"/>
      <c r="L320" s="6">
        <v>100</v>
      </c>
      <c r="M320" s="6">
        <f t="shared" si="5"/>
        <v>-248572.77000000011</v>
      </c>
      <c r="N320" s="4" t="s">
        <v>64</v>
      </c>
      <c r="O320" s="4" t="s">
        <v>65</v>
      </c>
      <c r="P320" s="4" t="s">
        <v>66</v>
      </c>
      <c r="Q320" s="4"/>
      <c r="R320" s="4" t="s">
        <v>0</v>
      </c>
      <c r="S320" s="4"/>
    </row>
    <row r="321" spans="1:19" x14ac:dyDescent="0.2">
      <c r="A321" s="17"/>
      <c r="B321" s="4" t="s">
        <v>45</v>
      </c>
      <c r="C321" s="4" t="s">
        <v>118</v>
      </c>
      <c r="D321" s="4" t="s">
        <v>119</v>
      </c>
      <c r="E321" s="5">
        <v>45188</v>
      </c>
      <c r="F321" s="4" t="s">
        <v>607</v>
      </c>
      <c r="G321" s="4"/>
      <c r="H321" s="4"/>
      <c r="I321" s="4" t="s">
        <v>608</v>
      </c>
      <c r="J321" s="4" t="s">
        <v>608</v>
      </c>
      <c r="K321" s="6"/>
      <c r="L321" s="6">
        <v>267.5</v>
      </c>
      <c r="M321" s="6">
        <f t="shared" si="5"/>
        <v>-248840.27000000011</v>
      </c>
      <c r="N321" s="4" t="s">
        <v>64</v>
      </c>
      <c r="O321" s="4" t="s">
        <v>65</v>
      </c>
      <c r="P321" s="4" t="s">
        <v>66</v>
      </c>
      <c r="Q321" s="4"/>
      <c r="R321" s="4" t="s">
        <v>0</v>
      </c>
      <c r="S321" s="4"/>
    </row>
    <row r="322" spans="1:19" x14ac:dyDescent="0.2">
      <c r="A322" s="17"/>
      <c r="B322" s="4" t="s">
        <v>45</v>
      </c>
      <c r="C322" s="4" t="s">
        <v>118</v>
      </c>
      <c r="D322" s="4" t="s">
        <v>119</v>
      </c>
      <c r="E322" s="5">
        <v>45191</v>
      </c>
      <c r="F322" s="4" t="s">
        <v>609</v>
      </c>
      <c r="G322" s="4"/>
      <c r="H322" s="4"/>
      <c r="I322" s="4" t="s">
        <v>610</v>
      </c>
      <c r="J322" s="4" t="s">
        <v>610</v>
      </c>
      <c r="K322" s="6">
        <v>215907.72</v>
      </c>
      <c r="L322" s="6"/>
      <c r="M322" s="6">
        <f t="shared" si="5"/>
        <v>-32932.550000000105</v>
      </c>
      <c r="N322" s="4" t="s">
        <v>64</v>
      </c>
      <c r="O322" s="4" t="s">
        <v>65</v>
      </c>
      <c r="P322" s="4" t="s">
        <v>66</v>
      </c>
      <c r="Q322" s="4"/>
      <c r="R322" s="4" t="s">
        <v>0</v>
      </c>
      <c r="S322" s="4"/>
    </row>
    <row r="323" spans="1:19" x14ac:dyDescent="0.2">
      <c r="A323" s="17"/>
      <c r="B323" s="4" t="s">
        <v>45</v>
      </c>
      <c r="C323" s="4" t="s">
        <v>118</v>
      </c>
      <c r="D323" s="4" t="s">
        <v>119</v>
      </c>
      <c r="E323" s="5">
        <v>45191</v>
      </c>
      <c r="F323" s="4" t="s">
        <v>611</v>
      </c>
      <c r="G323" s="4"/>
      <c r="H323" s="4"/>
      <c r="I323" s="4" t="s">
        <v>612</v>
      </c>
      <c r="J323" s="4" t="s">
        <v>612</v>
      </c>
      <c r="K323" s="6"/>
      <c r="L323" s="6">
        <v>3180</v>
      </c>
      <c r="M323" s="6">
        <f t="shared" si="5"/>
        <v>-36112.550000000105</v>
      </c>
      <c r="N323" s="4" t="s">
        <v>64</v>
      </c>
      <c r="O323" s="4" t="s">
        <v>92</v>
      </c>
      <c r="P323" s="4" t="s">
        <v>66</v>
      </c>
      <c r="Q323" s="4"/>
      <c r="R323" s="4" t="s">
        <v>0</v>
      </c>
      <c r="S323" s="4"/>
    </row>
    <row r="324" spans="1:19" x14ac:dyDescent="0.2">
      <c r="A324" s="17"/>
      <c r="B324" s="4" t="s">
        <v>45</v>
      </c>
      <c r="C324" s="4" t="s">
        <v>118</v>
      </c>
      <c r="D324" s="4" t="s">
        <v>119</v>
      </c>
      <c r="E324" s="5">
        <v>45195</v>
      </c>
      <c r="F324" s="4" t="s">
        <v>613</v>
      </c>
      <c r="G324" s="4"/>
      <c r="H324" s="4"/>
      <c r="I324" s="4" t="s">
        <v>614</v>
      </c>
      <c r="J324" s="4" t="s">
        <v>614</v>
      </c>
      <c r="K324" s="6"/>
      <c r="L324" s="6">
        <v>29802.9</v>
      </c>
      <c r="M324" s="6">
        <f t="shared" si="5"/>
        <v>-65915.450000000099</v>
      </c>
      <c r="N324" s="4" t="s">
        <v>64</v>
      </c>
      <c r="O324" s="4" t="s">
        <v>65</v>
      </c>
      <c r="P324" s="4" t="s">
        <v>66</v>
      </c>
      <c r="Q324" s="4"/>
      <c r="R324" s="4" t="s">
        <v>0</v>
      </c>
      <c r="S324" s="4"/>
    </row>
    <row r="325" spans="1:19" x14ac:dyDescent="0.2">
      <c r="A325" s="17"/>
      <c r="B325" s="4" t="s">
        <v>45</v>
      </c>
      <c r="C325" s="4" t="s">
        <v>118</v>
      </c>
      <c r="D325" s="4" t="s">
        <v>119</v>
      </c>
      <c r="E325" s="5">
        <v>45195</v>
      </c>
      <c r="F325" s="4" t="s">
        <v>615</v>
      </c>
      <c r="G325" s="4"/>
      <c r="H325" s="4"/>
      <c r="I325" s="4" t="s">
        <v>616</v>
      </c>
      <c r="J325" s="4" t="s">
        <v>616</v>
      </c>
      <c r="K325" s="6">
        <v>17262</v>
      </c>
      <c r="L325" s="6"/>
      <c r="M325" s="6">
        <f t="shared" si="5"/>
        <v>-48653.450000000099</v>
      </c>
      <c r="N325" s="4" t="s">
        <v>64</v>
      </c>
      <c r="O325" s="4" t="s">
        <v>65</v>
      </c>
      <c r="P325" s="4" t="s">
        <v>66</v>
      </c>
      <c r="Q325" s="4"/>
      <c r="R325" s="4" t="s">
        <v>0</v>
      </c>
      <c r="S325" s="4"/>
    </row>
    <row r="326" spans="1:19" x14ac:dyDescent="0.2">
      <c r="A326" s="17"/>
      <c r="B326" s="4" t="s">
        <v>45</v>
      </c>
      <c r="C326" s="4" t="s">
        <v>118</v>
      </c>
      <c r="D326" s="4" t="s">
        <v>119</v>
      </c>
      <c r="E326" s="5">
        <v>45198</v>
      </c>
      <c r="F326" s="4" t="s">
        <v>617</v>
      </c>
      <c r="G326" s="4"/>
      <c r="H326" s="4"/>
      <c r="I326" s="4" t="s">
        <v>618</v>
      </c>
      <c r="J326" s="4" t="s">
        <v>618</v>
      </c>
      <c r="K326" s="6"/>
      <c r="L326" s="6">
        <v>200000</v>
      </c>
      <c r="M326" s="6">
        <f t="shared" si="5"/>
        <v>-248653.4500000001</v>
      </c>
      <c r="N326" s="4" t="s">
        <v>64</v>
      </c>
      <c r="O326" s="4" t="s">
        <v>65</v>
      </c>
      <c r="P326" s="4" t="s">
        <v>66</v>
      </c>
      <c r="Q326" s="4"/>
      <c r="R326" s="4" t="s">
        <v>0</v>
      </c>
      <c r="S326" s="4"/>
    </row>
    <row r="327" spans="1:19" x14ac:dyDescent="0.2">
      <c r="A327" s="17"/>
      <c r="B327" s="4" t="s">
        <v>45</v>
      </c>
      <c r="C327" s="4" t="s">
        <v>118</v>
      </c>
      <c r="D327" s="4" t="s">
        <v>119</v>
      </c>
      <c r="E327" s="5">
        <v>45202</v>
      </c>
      <c r="F327" s="4" t="s">
        <v>619</v>
      </c>
      <c r="G327" s="4"/>
      <c r="H327" s="4"/>
      <c r="I327" s="4" t="s">
        <v>620</v>
      </c>
      <c r="J327" s="4" t="s">
        <v>621</v>
      </c>
      <c r="K327" s="6">
        <v>5040</v>
      </c>
      <c r="L327" s="6"/>
      <c r="M327" s="6">
        <f t="shared" si="5"/>
        <v>-243613.4500000001</v>
      </c>
      <c r="N327" s="4" t="s">
        <v>64</v>
      </c>
      <c r="O327" s="4" t="s">
        <v>65</v>
      </c>
      <c r="P327" s="4" t="s">
        <v>66</v>
      </c>
      <c r="Q327" s="4"/>
      <c r="R327" s="4" t="s">
        <v>0</v>
      </c>
      <c r="S327" s="4"/>
    </row>
    <row r="328" spans="1:19" x14ac:dyDescent="0.2">
      <c r="A328" s="17"/>
      <c r="B328" s="4" t="s">
        <v>45</v>
      </c>
      <c r="C328" s="4" t="s">
        <v>118</v>
      </c>
      <c r="D328" s="4" t="s">
        <v>119</v>
      </c>
      <c r="E328" s="5">
        <v>45202</v>
      </c>
      <c r="F328" s="4" t="s">
        <v>622</v>
      </c>
      <c r="G328" s="4"/>
      <c r="H328" s="4"/>
      <c r="I328" s="4" t="s">
        <v>621</v>
      </c>
      <c r="J328" s="4" t="s">
        <v>621</v>
      </c>
      <c r="K328" s="6"/>
      <c r="L328" s="6">
        <v>5040</v>
      </c>
      <c r="M328" s="6">
        <f t="shared" si="5"/>
        <v>-248653.4500000001</v>
      </c>
      <c r="N328" s="4" t="s">
        <v>64</v>
      </c>
      <c r="O328" s="4" t="s">
        <v>65</v>
      </c>
      <c r="P328" s="4" t="s">
        <v>66</v>
      </c>
      <c r="Q328" s="4"/>
      <c r="R328" s="4" t="s">
        <v>0</v>
      </c>
      <c r="S328" s="4"/>
    </row>
    <row r="329" spans="1:19" x14ac:dyDescent="0.2">
      <c r="A329" s="17"/>
      <c r="B329" s="4" t="s">
        <v>45</v>
      </c>
      <c r="C329" s="4" t="s">
        <v>118</v>
      </c>
      <c r="D329" s="4" t="s">
        <v>119</v>
      </c>
      <c r="E329" s="5">
        <v>45202</v>
      </c>
      <c r="F329" s="4" t="s">
        <v>623</v>
      </c>
      <c r="G329" s="4"/>
      <c r="H329" s="4"/>
      <c r="I329" s="4" t="s">
        <v>624</v>
      </c>
      <c r="J329" s="4" t="s">
        <v>624</v>
      </c>
      <c r="K329" s="6"/>
      <c r="L329" s="6">
        <v>5460</v>
      </c>
      <c r="M329" s="6">
        <f t="shared" si="5"/>
        <v>-254113.4500000001</v>
      </c>
      <c r="N329" s="4" t="s">
        <v>64</v>
      </c>
      <c r="O329" s="4" t="s">
        <v>65</v>
      </c>
      <c r="P329" s="4" t="s">
        <v>66</v>
      </c>
      <c r="Q329" s="4"/>
      <c r="R329" s="4" t="s">
        <v>0</v>
      </c>
      <c r="S329" s="4"/>
    </row>
    <row r="330" spans="1:19" x14ac:dyDescent="0.2">
      <c r="A330" s="17"/>
      <c r="B330" s="4" t="s">
        <v>45</v>
      </c>
      <c r="C330" s="4" t="s">
        <v>118</v>
      </c>
      <c r="D330" s="4" t="s">
        <v>119</v>
      </c>
      <c r="E330" s="5">
        <v>45203</v>
      </c>
      <c r="F330" s="4" t="s">
        <v>625</v>
      </c>
      <c r="G330" s="4"/>
      <c r="H330" s="4"/>
      <c r="I330" s="4" t="s">
        <v>626</v>
      </c>
      <c r="J330" s="4" t="s">
        <v>626</v>
      </c>
      <c r="K330" s="6">
        <v>41520.78</v>
      </c>
      <c r="L330" s="6"/>
      <c r="M330" s="6">
        <f t="shared" si="5"/>
        <v>-212592.6700000001</v>
      </c>
      <c r="N330" s="4" t="s">
        <v>64</v>
      </c>
      <c r="O330" s="4" t="s">
        <v>65</v>
      </c>
      <c r="P330" s="4" t="s">
        <v>66</v>
      </c>
      <c r="Q330" s="4"/>
      <c r="R330" s="4" t="s">
        <v>0</v>
      </c>
      <c r="S330" s="4"/>
    </row>
    <row r="331" spans="1:19" x14ac:dyDescent="0.2">
      <c r="A331" s="17"/>
      <c r="B331" s="4" t="s">
        <v>45</v>
      </c>
      <c r="C331" s="4" t="s">
        <v>118</v>
      </c>
      <c r="D331" s="4" t="s">
        <v>119</v>
      </c>
      <c r="E331" s="5">
        <v>45203</v>
      </c>
      <c r="F331" s="4" t="s">
        <v>627</v>
      </c>
      <c r="G331" s="4"/>
      <c r="H331" s="4"/>
      <c r="I331" s="4" t="s">
        <v>628</v>
      </c>
      <c r="J331" s="4" t="s">
        <v>628</v>
      </c>
      <c r="K331" s="6"/>
      <c r="L331" s="6">
        <v>8400</v>
      </c>
      <c r="M331" s="6">
        <f t="shared" si="5"/>
        <v>-220992.6700000001</v>
      </c>
      <c r="N331" s="4" t="s">
        <v>64</v>
      </c>
      <c r="O331" s="4" t="s">
        <v>65</v>
      </c>
      <c r="P331" s="4" t="s">
        <v>66</v>
      </c>
      <c r="Q331" s="4"/>
      <c r="R331" s="4" t="s">
        <v>0</v>
      </c>
      <c r="S331" s="4"/>
    </row>
    <row r="332" spans="1:19" x14ac:dyDescent="0.2">
      <c r="A332" s="17"/>
      <c r="B332" s="4" t="s">
        <v>45</v>
      </c>
      <c r="C332" s="4" t="s">
        <v>118</v>
      </c>
      <c r="D332" s="4" t="s">
        <v>119</v>
      </c>
      <c r="E332" s="5">
        <v>45204</v>
      </c>
      <c r="F332" s="4" t="s">
        <v>629</v>
      </c>
      <c r="G332" s="4"/>
      <c r="H332" s="4"/>
      <c r="I332" s="4" t="s">
        <v>630</v>
      </c>
      <c r="J332" s="4" t="s">
        <v>630</v>
      </c>
      <c r="K332" s="6"/>
      <c r="L332" s="6">
        <v>46605</v>
      </c>
      <c r="M332" s="6">
        <f t="shared" ref="M332:M395" si="6">M331+K332-L332</f>
        <v>-267597.6700000001</v>
      </c>
      <c r="N332" s="4" t="s">
        <v>64</v>
      </c>
      <c r="O332" s="4" t="s">
        <v>65</v>
      </c>
      <c r="P332" s="4" t="s">
        <v>66</v>
      </c>
      <c r="Q332" s="4"/>
      <c r="R332" s="4" t="s">
        <v>0</v>
      </c>
      <c r="S332" s="4"/>
    </row>
    <row r="333" spans="1:19" x14ac:dyDescent="0.2">
      <c r="A333" s="17"/>
      <c r="B333" s="4" t="s">
        <v>45</v>
      </c>
      <c r="C333" s="4" t="s">
        <v>118</v>
      </c>
      <c r="D333" s="4" t="s">
        <v>119</v>
      </c>
      <c r="E333" s="5">
        <v>45205</v>
      </c>
      <c r="F333" s="4" t="s">
        <v>631</v>
      </c>
      <c r="G333" s="4"/>
      <c r="H333" s="4"/>
      <c r="I333" s="4" t="s">
        <v>632</v>
      </c>
      <c r="J333" s="4" t="s">
        <v>632</v>
      </c>
      <c r="K333" s="6"/>
      <c r="L333" s="6">
        <v>5360</v>
      </c>
      <c r="M333" s="6">
        <f t="shared" si="6"/>
        <v>-272957.6700000001</v>
      </c>
      <c r="N333" s="4" t="s">
        <v>64</v>
      </c>
      <c r="O333" s="4" t="s">
        <v>65</v>
      </c>
      <c r="P333" s="4" t="s">
        <v>66</v>
      </c>
      <c r="Q333" s="4"/>
      <c r="R333" s="4" t="s">
        <v>0</v>
      </c>
      <c r="S333" s="4"/>
    </row>
    <row r="334" spans="1:19" x14ac:dyDescent="0.2">
      <c r="A334" s="17"/>
      <c r="B334" s="4" t="s">
        <v>45</v>
      </c>
      <c r="C334" s="4" t="s">
        <v>118</v>
      </c>
      <c r="D334" s="4" t="s">
        <v>119</v>
      </c>
      <c r="E334" s="5">
        <v>45206</v>
      </c>
      <c r="F334" s="4" t="s">
        <v>633</v>
      </c>
      <c r="G334" s="4"/>
      <c r="H334" s="4"/>
      <c r="I334" s="4" t="s">
        <v>634</v>
      </c>
      <c r="J334" s="4" t="s">
        <v>634</v>
      </c>
      <c r="K334" s="6">
        <v>39690</v>
      </c>
      <c r="L334" s="6"/>
      <c r="M334" s="6">
        <f t="shared" si="6"/>
        <v>-233267.6700000001</v>
      </c>
      <c r="N334" s="4" t="s">
        <v>64</v>
      </c>
      <c r="O334" s="4" t="s">
        <v>65</v>
      </c>
      <c r="P334" s="4" t="s">
        <v>66</v>
      </c>
      <c r="Q334" s="4"/>
      <c r="R334" s="4" t="s">
        <v>0</v>
      </c>
      <c r="S334" s="4"/>
    </row>
    <row r="335" spans="1:19" x14ac:dyDescent="0.2">
      <c r="A335" s="17"/>
      <c r="B335" s="4" t="s">
        <v>45</v>
      </c>
      <c r="C335" s="4" t="s">
        <v>118</v>
      </c>
      <c r="D335" s="4" t="s">
        <v>119</v>
      </c>
      <c r="E335" s="5">
        <v>45210</v>
      </c>
      <c r="F335" s="4" t="s">
        <v>635</v>
      </c>
      <c r="G335" s="4"/>
      <c r="H335" s="4"/>
      <c r="I335" s="4" t="s">
        <v>636</v>
      </c>
      <c r="J335" s="4" t="s">
        <v>636</v>
      </c>
      <c r="K335" s="6"/>
      <c r="L335" s="6">
        <v>3676.5</v>
      </c>
      <c r="M335" s="6">
        <f t="shared" si="6"/>
        <v>-236944.1700000001</v>
      </c>
      <c r="N335" s="4" t="s">
        <v>64</v>
      </c>
      <c r="O335" s="4" t="s">
        <v>92</v>
      </c>
      <c r="P335" s="4" t="s">
        <v>66</v>
      </c>
      <c r="Q335" s="4"/>
      <c r="R335" s="4" t="s">
        <v>0</v>
      </c>
      <c r="S335" s="4"/>
    </row>
    <row r="336" spans="1:19" x14ac:dyDescent="0.2">
      <c r="A336" s="17"/>
      <c r="B336" s="4" t="s">
        <v>45</v>
      </c>
      <c r="C336" s="4" t="s">
        <v>118</v>
      </c>
      <c r="D336" s="4" t="s">
        <v>119</v>
      </c>
      <c r="E336" s="5">
        <v>45210</v>
      </c>
      <c r="F336" s="4" t="s">
        <v>637</v>
      </c>
      <c r="G336" s="4"/>
      <c r="H336" s="4"/>
      <c r="I336" s="4" t="s">
        <v>638</v>
      </c>
      <c r="J336" s="4" t="s">
        <v>638</v>
      </c>
      <c r="K336" s="6">
        <v>3676.5</v>
      </c>
      <c r="L336" s="6"/>
      <c r="M336" s="6">
        <f t="shared" si="6"/>
        <v>-233267.6700000001</v>
      </c>
      <c r="N336" s="4" t="s">
        <v>64</v>
      </c>
      <c r="O336" s="4" t="s">
        <v>92</v>
      </c>
      <c r="P336" s="4" t="s">
        <v>66</v>
      </c>
      <c r="Q336" s="4"/>
      <c r="R336" s="4" t="s">
        <v>0</v>
      </c>
      <c r="S336" s="4"/>
    </row>
    <row r="337" spans="1:19" x14ac:dyDescent="0.2">
      <c r="A337" s="17"/>
      <c r="B337" s="4" t="s">
        <v>45</v>
      </c>
      <c r="C337" s="4" t="s">
        <v>118</v>
      </c>
      <c r="D337" s="4" t="s">
        <v>119</v>
      </c>
      <c r="E337" s="5">
        <v>45211</v>
      </c>
      <c r="F337" s="4" t="s">
        <v>639</v>
      </c>
      <c r="G337" s="4"/>
      <c r="H337" s="4"/>
      <c r="I337" s="4" t="s">
        <v>640</v>
      </c>
      <c r="J337" s="4" t="s">
        <v>640</v>
      </c>
      <c r="K337" s="6"/>
      <c r="L337" s="6">
        <v>3458.78</v>
      </c>
      <c r="M337" s="6">
        <f t="shared" si="6"/>
        <v>-236726.4500000001</v>
      </c>
      <c r="N337" s="4" t="s">
        <v>64</v>
      </c>
      <c r="O337" s="4" t="s">
        <v>92</v>
      </c>
      <c r="P337" s="4" t="s">
        <v>66</v>
      </c>
      <c r="Q337" s="4"/>
      <c r="R337" s="4" t="s">
        <v>0</v>
      </c>
      <c r="S337" s="4"/>
    </row>
    <row r="338" spans="1:19" x14ac:dyDescent="0.2">
      <c r="A338" s="17"/>
      <c r="B338" s="4" t="s">
        <v>45</v>
      </c>
      <c r="C338" s="4" t="s">
        <v>118</v>
      </c>
      <c r="D338" s="4" t="s">
        <v>119</v>
      </c>
      <c r="E338" s="5">
        <v>45211</v>
      </c>
      <c r="F338" s="4" t="s">
        <v>641</v>
      </c>
      <c r="G338" s="4"/>
      <c r="H338" s="4"/>
      <c r="I338" s="4" t="s">
        <v>642</v>
      </c>
      <c r="J338" s="4" t="s">
        <v>642</v>
      </c>
      <c r="K338" s="6"/>
      <c r="L338" s="6">
        <v>50000</v>
      </c>
      <c r="M338" s="6">
        <f t="shared" si="6"/>
        <v>-286726.45000000007</v>
      </c>
      <c r="N338" s="4" t="s">
        <v>64</v>
      </c>
      <c r="O338" s="4" t="s">
        <v>65</v>
      </c>
      <c r="P338" s="4" t="s">
        <v>66</v>
      </c>
      <c r="Q338" s="4"/>
      <c r="R338" s="4" t="s">
        <v>0</v>
      </c>
      <c r="S338" s="4"/>
    </row>
    <row r="339" spans="1:19" x14ac:dyDescent="0.2">
      <c r="A339" s="17"/>
      <c r="B339" s="4" t="s">
        <v>45</v>
      </c>
      <c r="C339" s="4" t="s">
        <v>118</v>
      </c>
      <c r="D339" s="4" t="s">
        <v>119</v>
      </c>
      <c r="E339" s="5">
        <v>45211</v>
      </c>
      <c r="F339" s="4" t="s">
        <v>643</v>
      </c>
      <c r="G339" s="4"/>
      <c r="H339" s="4"/>
      <c r="I339" s="4" t="s">
        <v>644</v>
      </c>
      <c r="J339" s="4" t="s">
        <v>642</v>
      </c>
      <c r="K339" s="6">
        <v>50000</v>
      </c>
      <c r="L339" s="6"/>
      <c r="M339" s="6">
        <f t="shared" si="6"/>
        <v>-236726.45000000007</v>
      </c>
      <c r="N339" s="4" t="s">
        <v>64</v>
      </c>
      <c r="O339" s="4" t="s">
        <v>65</v>
      </c>
      <c r="P339" s="4" t="s">
        <v>66</v>
      </c>
      <c r="Q339" s="4"/>
      <c r="R339" s="4" t="s">
        <v>0</v>
      </c>
      <c r="S339" s="4"/>
    </row>
    <row r="340" spans="1:19" x14ac:dyDescent="0.2">
      <c r="A340" s="17"/>
      <c r="B340" s="4" t="s">
        <v>45</v>
      </c>
      <c r="C340" s="4" t="s">
        <v>118</v>
      </c>
      <c r="D340" s="4" t="s">
        <v>119</v>
      </c>
      <c r="E340" s="5">
        <v>45211</v>
      </c>
      <c r="F340" s="4" t="s">
        <v>645</v>
      </c>
      <c r="G340" s="4"/>
      <c r="H340" s="4"/>
      <c r="I340" s="4" t="s">
        <v>646</v>
      </c>
      <c r="J340" s="4" t="s">
        <v>646</v>
      </c>
      <c r="K340" s="6"/>
      <c r="L340" s="6">
        <v>50000</v>
      </c>
      <c r="M340" s="6">
        <f t="shared" si="6"/>
        <v>-286726.45000000007</v>
      </c>
      <c r="N340" s="4" t="s">
        <v>64</v>
      </c>
      <c r="O340" s="4" t="s">
        <v>65</v>
      </c>
      <c r="P340" s="4" t="s">
        <v>66</v>
      </c>
      <c r="Q340" s="4"/>
      <c r="R340" s="4" t="s">
        <v>0</v>
      </c>
      <c r="S340" s="4"/>
    </row>
    <row r="341" spans="1:19" x14ac:dyDescent="0.2">
      <c r="A341" s="17"/>
      <c r="B341" s="4" t="s">
        <v>45</v>
      </c>
      <c r="C341" s="4" t="s">
        <v>118</v>
      </c>
      <c r="D341" s="4" t="s">
        <v>119</v>
      </c>
      <c r="E341" s="5">
        <v>45211</v>
      </c>
      <c r="F341" s="4" t="s">
        <v>647</v>
      </c>
      <c r="G341" s="4"/>
      <c r="H341" s="4"/>
      <c r="I341" s="4" t="s">
        <v>648</v>
      </c>
      <c r="J341" s="4" t="s">
        <v>648</v>
      </c>
      <c r="K341" s="6">
        <v>50000</v>
      </c>
      <c r="L341" s="6"/>
      <c r="M341" s="6">
        <f t="shared" si="6"/>
        <v>-236726.45000000007</v>
      </c>
      <c r="N341" s="4" t="s">
        <v>64</v>
      </c>
      <c r="O341" s="4" t="s">
        <v>65</v>
      </c>
      <c r="P341" s="4" t="s">
        <v>66</v>
      </c>
      <c r="Q341" s="4"/>
      <c r="R341" s="4" t="s">
        <v>0</v>
      </c>
      <c r="S341" s="4"/>
    </row>
    <row r="342" spans="1:19" x14ac:dyDescent="0.2">
      <c r="A342" s="17"/>
      <c r="B342" s="4" t="s">
        <v>45</v>
      </c>
      <c r="C342" s="4" t="s">
        <v>118</v>
      </c>
      <c r="D342" s="4" t="s">
        <v>119</v>
      </c>
      <c r="E342" s="5">
        <v>45212</v>
      </c>
      <c r="F342" s="4" t="s">
        <v>649</v>
      </c>
      <c r="G342" s="4"/>
      <c r="H342" s="4"/>
      <c r="I342" s="4" t="s">
        <v>650</v>
      </c>
      <c r="J342" s="4" t="s">
        <v>650</v>
      </c>
      <c r="K342" s="6"/>
      <c r="L342" s="6">
        <v>400</v>
      </c>
      <c r="M342" s="6">
        <f t="shared" si="6"/>
        <v>-237126.45000000007</v>
      </c>
      <c r="N342" s="4" t="s">
        <v>64</v>
      </c>
      <c r="O342" s="4" t="s">
        <v>65</v>
      </c>
      <c r="P342" s="4" t="s">
        <v>66</v>
      </c>
      <c r="Q342" s="4"/>
      <c r="R342" s="4" t="s">
        <v>0</v>
      </c>
      <c r="S342" s="4"/>
    </row>
    <row r="343" spans="1:19" x14ac:dyDescent="0.2">
      <c r="A343" s="17"/>
      <c r="B343" s="4" t="s">
        <v>45</v>
      </c>
      <c r="C343" s="4" t="s">
        <v>118</v>
      </c>
      <c r="D343" s="4" t="s">
        <v>119</v>
      </c>
      <c r="E343" s="5">
        <v>45212</v>
      </c>
      <c r="F343" s="4" t="s">
        <v>651</v>
      </c>
      <c r="G343" s="4"/>
      <c r="H343" s="4"/>
      <c r="I343" s="4" t="s">
        <v>652</v>
      </c>
      <c r="J343" s="4" t="s">
        <v>652</v>
      </c>
      <c r="K343" s="6">
        <v>13806</v>
      </c>
      <c r="L343" s="6"/>
      <c r="M343" s="6">
        <f t="shared" si="6"/>
        <v>-223320.45000000007</v>
      </c>
      <c r="N343" s="4" t="s">
        <v>64</v>
      </c>
      <c r="O343" s="4" t="s">
        <v>65</v>
      </c>
      <c r="P343" s="4" t="s">
        <v>66</v>
      </c>
      <c r="Q343" s="4"/>
      <c r="R343" s="4" t="s">
        <v>0</v>
      </c>
      <c r="S343" s="4"/>
    </row>
    <row r="344" spans="1:19" x14ac:dyDescent="0.2">
      <c r="A344" s="17"/>
      <c r="B344" s="4" t="s">
        <v>45</v>
      </c>
      <c r="C344" s="4" t="s">
        <v>118</v>
      </c>
      <c r="D344" s="4" t="s">
        <v>119</v>
      </c>
      <c r="E344" s="5">
        <v>45215</v>
      </c>
      <c r="F344" s="4" t="s">
        <v>653</v>
      </c>
      <c r="G344" s="4"/>
      <c r="H344" s="4"/>
      <c r="I344" s="4" t="s">
        <v>654</v>
      </c>
      <c r="J344" s="4" t="s">
        <v>654</v>
      </c>
      <c r="K344" s="6"/>
      <c r="L344" s="6">
        <v>13806</v>
      </c>
      <c r="M344" s="6">
        <f t="shared" si="6"/>
        <v>-237126.45000000007</v>
      </c>
      <c r="N344" s="4" t="s">
        <v>64</v>
      </c>
      <c r="O344" s="4" t="s">
        <v>65</v>
      </c>
      <c r="P344" s="4" t="s">
        <v>66</v>
      </c>
      <c r="Q344" s="4"/>
      <c r="R344" s="4" t="s">
        <v>0</v>
      </c>
      <c r="S344" s="4"/>
    </row>
    <row r="345" spans="1:19" x14ac:dyDescent="0.2">
      <c r="A345" s="17"/>
      <c r="B345" s="4" t="s">
        <v>45</v>
      </c>
      <c r="C345" s="4" t="s">
        <v>118</v>
      </c>
      <c r="D345" s="4" t="s">
        <v>119</v>
      </c>
      <c r="E345" s="5">
        <v>45215</v>
      </c>
      <c r="F345" s="4" t="s">
        <v>655</v>
      </c>
      <c r="G345" s="4"/>
      <c r="H345" s="4"/>
      <c r="I345" s="4" t="s">
        <v>367</v>
      </c>
      <c r="J345" s="4" t="s">
        <v>367</v>
      </c>
      <c r="K345" s="6"/>
      <c r="L345" s="6">
        <v>63</v>
      </c>
      <c r="M345" s="6">
        <f t="shared" si="6"/>
        <v>-237189.45000000007</v>
      </c>
      <c r="N345" s="4" t="s">
        <v>64</v>
      </c>
      <c r="O345" s="4" t="s">
        <v>65</v>
      </c>
      <c r="P345" s="4" t="s">
        <v>66</v>
      </c>
      <c r="Q345" s="4"/>
      <c r="R345" s="4" t="s">
        <v>0</v>
      </c>
      <c r="S345" s="4"/>
    </row>
    <row r="346" spans="1:19" x14ac:dyDescent="0.2">
      <c r="A346" s="17"/>
      <c r="B346" s="4" t="s">
        <v>45</v>
      </c>
      <c r="C346" s="4" t="s">
        <v>118</v>
      </c>
      <c r="D346" s="4" t="s">
        <v>119</v>
      </c>
      <c r="E346" s="5">
        <v>45218</v>
      </c>
      <c r="F346" s="4" t="s">
        <v>656</v>
      </c>
      <c r="G346" s="4"/>
      <c r="H346" s="4"/>
      <c r="I346" s="4" t="s">
        <v>657</v>
      </c>
      <c r="J346" s="4" t="s">
        <v>657</v>
      </c>
      <c r="K346" s="6"/>
      <c r="L346" s="6">
        <v>1354.1</v>
      </c>
      <c r="M346" s="6">
        <f t="shared" si="6"/>
        <v>-238543.55000000008</v>
      </c>
      <c r="N346" s="4" t="s">
        <v>64</v>
      </c>
      <c r="O346" s="4" t="s">
        <v>92</v>
      </c>
      <c r="P346" s="4" t="s">
        <v>66</v>
      </c>
      <c r="Q346" s="4"/>
      <c r="R346" s="4" t="s">
        <v>0</v>
      </c>
      <c r="S346" s="4"/>
    </row>
    <row r="347" spans="1:19" x14ac:dyDescent="0.2">
      <c r="A347" s="17"/>
      <c r="B347" s="4" t="s">
        <v>45</v>
      </c>
      <c r="C347" s="4" t="s">
        <v>118</v>
      </c>
      <c r="D347" s="4" t="s">
        <v>119</v>
      </c>
      <c r="E347" s="5">
        <v>45218</v>
      </c>
      <c r="F347" s="4" t="s">
        <v>658</v>
      </c>
      <c r="G347" s="4"/>
      <c r="H347" s="4"/>
      <c r="I347" s="4" t="s">
        <v>659</v>
      </c>
      <c r="J347" s="4" t="s">
        <v>659</v>
      </c>
      <c r="K347" s="6"/>
      <c r="L347" s="6">
        <v>4329</v>
      </c>
      <c r="M347" s="6">
        <f t="shared" si="6"/>
        <v>-242872.55000000008</v>
      </c>
      <c r="N347" s="4" t="s">
        <v>64</v>
      </c>
      <c r="O347" s="4" t="s">
        <v>92</v>
      </c>
      <c r="P347" s="4" t="s">
        <v>66</v>
      </c>
      <c r="Q347" s="4"/>
      <c r="R347" s="4" t="s">
        <v>0</v>
      </c>
      <c r="S347" s="4"/>
    </row>
    <row r="348" spans="1:19" x14ac:dyDescent="0.2">
      <c r="A348" s="17"/>
      <c r="B348" s="4" t="s">
        <v>45</v>
      </c>
      <c r="C348" s="4" t="s">
        <v>118</v>
      </c>
      <c r="D348" s="4" t="s">
        <v>119</v>
      </c>
      <c r="E348" s="5">
        <v>45218</v>
      </c>
      <c r="F348" s="4" t="s">
        <v>660</v>
      </c>
      <c r="G348" s="4"/>
      <c r="H348" s="4"/>
      <c r="I348" s="4" t="s">
        <v>661</v>
      </c>
      <c r="J348" s="4" t="s">
        <v>661</v>
      </c>
      <c r="K348" s="6"/>
      <c r="L348" s="6">
        <v>1620</v>
      </c>
      <c r="M348" s="6">
        <f t="shared" si="6"/>
        <v>-244492.55000000008</v>
      </c>
      <c r="N348" s="4" t="s">
        <v>64</v>
      </c>
      <c r="O348" s="4" t="s">
        <v>92</v>
      </c>
      <c r="P348" s="4" t="s">
        <v>66</v>
      </c>
      <c r="Q348" s="4"/>
      <c r="R348" s="4" t="s">
        <v>0</v>
      </c>
      <c r="S348" s="4"/>
    </row>
    <row r="349" spans="1:19" x14ac:dyDescent="0.2">
      <c r="A349" s="17"/>
      <c r="B349" s="4" t="s">
        <v>45</v>
      </c>
      <c r="C349" s="4" t="s">
        <v>118</v>
      </c>
      <c r="D349" s="4" t="s">
        <v>119</v>
      </c>
      <c r="E349" s="5">
        <v>45218</v>
      </c>
      <c r="F349" s="4" t="s">
        <v>662</v>
      </c>
      <c r="G349" s="4"/>
      <c r="H349" s="4"/>
      <c r="I349" s="4" t="s">
        <v>663</v>
      </c>
      <c r="J349" s="4" t="s">
        <v>657</v>
      </c>
      <c r="K349" s="6">
        <v>1354.1</v>
      </c>
      <c r="L349" s="6"/>
      <c r="M349" s="6">
        <f t="shared" si="6"/>
        <v>-243138.45000000007</v>
      </c>
      <c r="N349" s="4" t="s">
        <v>64</v>
      </c>
      <c r="O349" s="4" t="s">
        <v>92</v>
      </c>
      <c r="P349" s="4" t="s">
        <v>66</v>
      </c>
      <c r="Q349" s="4"/>
      <c r="R349" s="4" t="s">
        <v>0</v>
      </c>
      <c r="S349" s="4"/>
    </row>
    <row r="350" spans="1:19" x14ac:dyDescent="0.2">
      <c r="A350" s="17"/>
      <c r="B350" s="4" t="s">
        <v>45</v>
      </c>
      <c r="C350" s="4" t="s">
        <v>118</v>
      </c>
      <c r="D350" s="4" t="s">
        <v>119</v>
      </c>
      <c r="E350" s="5">
        <v>45218</v>
      </c>
      <c r="F350" s="4" t="s">
        <v>664</v>
      </c>
      <c r="G350" s="4"/>
      <c r="H350" s="4"/>
      <c r="I350" s="4" t="s">
        <v>665</v>
      </c>
      <c r="J350" s="4" t="s">
        <v>661</v>
      </c>
      <c r="K350" s="6">
        <v>1620</v>
      </c>
      <c r="L350" s="6"/>
      <c r="M350" s="6">
        <f t="shared" si="6"/>
        <v>-241518.45000000007</v>
      </c>
      <c r="N350" s="4" t="s">
        <v>64</v>
      </c>
      <c r="O350" s="4" t="s">
        <v>92</v>
      </c>
      <c r="P350" s="4" t="s">
        <v>66</v>
      </c>
      <c r="Q350" s="4"/>
      <c r="R350" s="4" t="s">
        <v>0</v>
      </c>
      <c r="S350" s="4"/>
    </row>
    <row r="351" spans="1:19" x14ac:dyDescent="0.2">
      <c r="A351" s="17"/>
      <c r="B351" s="4" t="s">
        <v>45</v>
      </c>
      <c r="C351" s="4" t="s">
        <v>118</v>
      </c>
      <c r="D351" s="4" t="s">
        <v>119</v>
      </c>
      <c r="E351" s="5">
        <v>45219</v>
      </c>
      <c r="F351" s="4" t="s">
        <v>666</v>
      </c>
      <c r="G351" s="4"/>
      <c r="H351" s="4"/>
      <c r="I351" s="4" t="s">
        <v>667</v>
      </c>
      <c r="J351" s="4" t="s">
        <v>667</v>
      </c>
      <c r="K351" s="6">
        <v>39480</v>
      </c>
      <c r="L351" s="6"/>
      <c r="M351" s="6">
        <f t="shared" si="6"/>
        <v>-202038.45000000007</v>
      </c>
      <c r="N351" s="4" t="s">
        <v>64</v>
      </c>
      <c r="O351" s="4" t="s">
        <v>65</v>
      </c>
      <c r="P351" s="4" t="s">
        <v>66</v>
      </c>
      <c r="Q351" s="4"/>
      <c r="R351" s="4" t="s">
        <v>0</v>
      </c>
      <c r="S351" s="4"/>
    </row>
    <row r="352" spans="1:19" x14ac:dyDescent="0.2">
      <c r="A352" s="17"/>
      <c r="B352" s="4" t="s">
        <v>45</v>
      </c>
      <c r="C352" s="4" t="s">
        <v>118</v>
      </c>
      <c r="D352" s="4" t="s">
        <v>119</v>
      </c>
      <c r="E352" s="5">
        <v>45223</v>
      </c>
      <c r="F352" s="4" t="s">
        <v>668</v>
      </c>
      <c r="G352" s="4"/>
      <c r="H352" s="4"/>
      <c r="I352" s="4" t="s">
        <v>669</v>
      </c>
      <c r="J352" s="4" t="s">
        <v>669</v>
      </c>
      <c r="K352" s="6"/>
      <c r="L352" s="6">
        <v>3274.95</v>
      </c>
      <c r="M352" s="6">
        <f t="shared" si="6"/>
        <v>-205313.40000000008</v>
      </c>
      <c r="N352" s="4" t="s">
        <v>64</v>
      </c>
      <c r="O352" s="4" t="s">
        <v>65</v>
      </c>
      <c r="P352" s="4" t="s">
        <v>66</v>
      </c>
      <c r="Q352" s="4"/>
      <c r="R352" s="4" t="s">
        <v>0</v>
      </c>
      <c r="S352" s="4"/>
    </row>
    <row r="353" spans="1:19" x14ac:dyDescent="0.2">
      <c r="A353" s="17"/>
      <c r="B353" s="4" t="s">
        <v>45</v>
      </c>
      <c r="C353" s="4" t="s">
        <v>118</v>
      </c>
      <c r="D353" s="4" t="s">
        <v>119</v>
      </c>
      <c r="E353" s="5">
        <v>45223</v>
      </c>
      <c r="F353" s="4" t="s">
        <v>670</v>
      </c>
      <c r="G353" s="4"/>
      <c r="H353" s="4"/>
      <c r="I353" s="4" t="s">
        <v>671</v>
      </c>
      <c r="J353" s="4" t="s">
        <v>669</v>
      </c>
      <c r="K353" s="6">
        <v>3274.95</v>
      </c>
      <c r="L353" s="6"/>
      <c r="M353" s="6">
        <f t="shared" si="6"/>
        <v>-202038.45000000007</v>
      </c>
      <c r="N353" s="4" t="s">
        <v>64</v>
      </c>
      <c r="O353" s="4" t="s">
        <v>65</v>
      </c>
      <c r="P353" s="4" t="s">
        <v>66</v>
      </c>
      <c r="Q353" s="4"/>
      <c r="R353" s="4" t="s">
        <v>0</v>
      </c>
      <c r="S353" s="4"/>
    </row>
    <row r="354" spans="1:19" x14ac:dyDescent="0.2">
      <c r="A354" s="17"/>
      <c r="B354" s="4" t="s">
        <v>45</v>
      </c>
      <c r="C354" s="4" t="s">
        <v>118</v>
      </c>
      <c r="D354" s="4" t="s">
        <v>119</v>
      </c>
      <c r="E354" s="5">
        <v>45224</v>
      </c>
      <c r="F354" s="4" t="s">
        <v>672</v>
      </c>
      <c r="G354" s="4"/>
      <c r="H354" s="4"/>
      <c r="I354" s="4" t="s">
        <v>673</v>
      </c>
      <c r="J354" s="4" t="s">
        <v>673</v>
      </c>
      <c r="K354" s="6"/>
      <c r="L354" s="6">
        <v>3913.75</v>
      </c>
      <c r="M354" s="6">
        <f t="shared" si="6"/>
        <v>-205952.20000000007</v>
      </c>
      <c r="N354" s="4" t="s">
        <v>64</v>
      </c>
      <c r="O354" s="4" t="s">
        <v>65</v>
      </c>
      <c r="P354" s="4" t="s">
        <v>66</v>
      </c>
      <c r="Q354" s="4"/>
      <c r="R354" s="4" t="s">
        <v>0</v>
      </c>
      <c r="S354" s="4"/>
    </row>
    <row r="355" spans="1:19" x14ac:dyDescent="0.2">
      <c r="A355" s="17"/>
      <c r="B355" s="4" t="s">
        <v>45</v>
      </c>
      <c r="C355" s="4" t="s">
        <v>118</v>
      </c>
      <c r="D355" s="4" t="s">
        <v>119</v>
      </c>
      <c r="E355" s="5">
        <v>45224</v>
      </c>
      <c r="F355" s="4" t="s">
        <v>674</v>
      </c>
      <c r="G355" s="4"/>
      <c r="H355" s="4"/>
      <c r="I355" s="4" t="s">
        <v>675</v>
      </c>
      <c r="J355" s="4" t="s">
        <v>675</v>
      </c>
      <c r="K355" s="6"/>
      <c r="L355" s="6">
        <v>3705.45</v>
      </c>
      <c r="M355" s="6">
        <f t="shared" si="6"/>
        <v>-209657.65000000008</v>
      </c>
      <c r="N355" s="4" t="s">
        <v>64</v>
      </c>
      <c r="O355" s="4" t="s">
        <v>65</v>
      </c>
      <c r="P355" s="4" t="s">
        <v>66</v>
      </c>
      <c r="Q355" s="4"/>
      <c r="R355" s="4" t="s">
        <v>0</v>
      </c>
      <c r="S355" s="4"/>
    </row>
    <row r="356" spans="1:19" x14ac:dyDescent="0.2">
      <c r="A356" s="17"/>
      <c r="B356" s="4" t="s">
        <v>45</v>
      </c>
      <c r="C356" s="4" t="s">
        <v>118</v>
      </c>
      <c r="D356" s="4" t="s">
        <v>119</v>
      </c>
      <c r="E356" s="5">
        <v>45224</v>
      </c>
      <c r="F356" s="4" t="s">
        <v>676</v>
      </c>
      <c r="G356" s="4"/>
      <c r="H356" s="4"/>
      <c r="I356" s="4" t="s">
        <v>677</v>
      </c>
      <c r="J356" s="4" t="s">
        <v>675</v>
      </c>
      <c r="K356" s="6">
        <v>3705.45</v>
      </c>
      <c r="L356" s="6"/>
      <c r="M356" s="6">
        <f t="shared" si="6"/>
        <v>-205952.20000000007</v>
      </c>
      <c r="N356" s="4" t="s">
        <v>64</v>
      </c>
      <c r="O356" s="4" t="s">
        <v>65</v>
      </c>
      <c r="P356" s="4" t="s">
        <v>66</v>
      </c>
      <c r="Q356" s="4"/>
      <c r="R356" s="4" t="s">
        <v>0</v>
      </c>
      <c r="S356" s="4"/>
    </row>
    <row r="357" spans="1:19" x14ac:dyDescent="0.2">
      <c r="A357" s="17"/>
      <c r="B357" s="4" t="s">
        <v>45</v>
      </c>
      <c r="C357" s="4" t="s">
        <v>118</v>
      </c>
      <c r="D357" s="4" t="s">
        <v>119</v>
      </c>
      <c r="E357" s="5">
        <v>45224</v>
      </c>
      <c r="F357" s="4" t="s">
        <v>678</v>
      </c>
      <c r="G357" s="4"/>
      <c r="H357" s="4"/>
      <c r="I357" s="4" t="s">
        <v>679</v>
      </c>
      <c r="J357" s="4" t="s">
        <v>673</v>
      </c>
      <c r="K357" s="6">
        <v>3913.75</v>
      </c>
      <c r="L357" s="6"/>
      <c r="M357" s="6">
        <f t="shared" si="6"/>
        <v>-202038.45000000007</v>
      </c>
      <c r="N357" s="4" t="s">
        <v>64</v>
      </c>
      <c r="O357" s="4" t="s">
        <v>65</v>
      </c>
      <c r="P357" s="4" t="s">
        <v>66</v>
      </c>
      <c r="Q357" s="4"/>
      <c r="R357" s="4" t="s">
        <v>0</v>
      </c>
      <c r="S357" s="4"/>
    </row>
    <row r="358" spans="1:19" x14ac:dyDescent="0.2">
      <c r="A358" s="17"/>
      <c r="B358" s="4" t="s">
        <v>45</v>
      </c>
      <c r="C358" s="4" t="s">
        <v>118</v>
      </c>
      <c r="D358" s="4" t="s">
        <v>119</v>
      </c>
      <c r="E358" s="5">
        <v>45226</v>
      </c>
      <c r="F358" s="4" t="s">
        <v>680</v>
      </c>
      <c r="G358" s="4"/>
      <c r="H358" s="4"/>
      <c r="I358" s="4" t="s">
        <v>681</v>
      </c>
      <c r="J358" s="4" t="s">
        <v>682</v>
      </c>
      <c r="K358" s="6"/>
      <c r="L358" s="6">
        <v>31598.9</v>
      </c>
      <c r="M358" s="6">
        <f t="shared" si="6"/>
        <v>-233637.35000000006</v>
      </c>
      <c r="N358" s="4" t="s">
        <v>64</v>
      </c>
      <c r="O358" s="4" t="s">
        <v>65</v>
      </c>
      <c r="P358" s="4" t="s">
        <v>66</v>
      </c>
      <c r="Q358" s="4"/>
      <c r="R358" s="4" t="s">
        <v>0</v>
      </c>
      <c r="S358" s="4"/>
    </row>
    <row r="359" spans="1:19" x14ac:dyDescent="0.2">
      <c r="A359" s="17"/>
      <c r="B359" s="4" t="s">
        <v>45</v>
      </c>
      <c r="C359" s="4" t="s">
        <v>118</v>
      </c>
      <c r="D359" s="4" t="s">
        <v>119</v>
      </c>
      <c r="E359" s="5">
        <v>45231</v>
      </c>
      <c r="F359" s="4" t="s">
        <v>683</v>
      </c>
      <c r="G359" s="4"/>
      <c r="H359" s="4"/>
      <c r="I359" s="4" t="s">
        <v>684</v>
      </c>
      <c r="J359" s="4" t="s">
        <v>685</v>
      </c>
      <c r="K359" s="6">
        <v>32722.38</v>
      </c>
      <c r="L359" s="6"/>
      <c r="M359" s="6">
        <f t="shared" si="6"/>
        <v>-200914.97000000006</v>
      </c>
      <c r="N359" s="4" t="s">
        <v>64</v>
      </c>
      <c r="O359" s="4" t="s">
        <v>65</v>
      </c>
      <c r="P359" s="4" t="s">
        <v>66</v>
      </c>
      <c r="Q359" s="4"/>
      <c r="R359" s="4" t="s">
        <v>0</v>
      </c>
      <c r="S359" s="4"/>
    </row>
    <row r="360" spans="1:19" x14ac:dyDescent="0.2">
      <c r="A360" s="17"/>
      <c r="B360" s="4" t="s">
        <v>45</v>
      </c>
      <c r="C360" s="4" t="s">
        <v>118</v>
      </c>
      <c r="D360" s="4" t="s">
        <v>119</v>
      </c>
      <c r="E360" s="5">
        <v>45231</v>
      </c>
      <c r="F360" s="4" t="s">
        <v>686</v>
      </c>
      <c r="G360" s="4"/>
      <c r="H360" s="4"/>
      <c r="I360" s="4" t="s">
        <v>685</v>
      </c>
      <c r="J360" s="4" t="s">
        <v>685</v>
      </c>
      <c r="K360" s="6"/>
      <c r="L360" s="6">
        <v>32722.38</v>
      </c>
      <c r="M360" s="6">
        <f t="shared" si="6"/>
        <v>-233637.35000000006</v>
      </c>
      <c r="N360" s="4" t="s">
        <v>64</v>
      </c>
      <c r="O360" s="4" t="s">
        <v>65</v>
      </c>
      <c r="P360" s="4" t="s">
        <v>66</v>
      </c>
      <c r="Q360" s="4"/>
      <c r="R360" s="4" t="s">
        <v>0</v>
      </c>
      <c r="S360" s="4"/>
    </row>
    <row r="361" spans="1:19" x14ac:dyDescent="0.2">
      <c r="A361" s="17"/>
      <c r="B361" s="4" t="s">
        <v>45</v>
      </c>
      <c r="C361" s="4" t="s">
        <v>118</v>
      </c>
      <c r="D361" s="4" t="s">
        <v>119</v>
      </c>
      <c r="E361" s="5">
        <v>45237</v>
      </c>
      <c r="F361" s="4" t="s">
        <v>687</v>
      </c>
      <c r="G361" s="4"/>
      <c r="H361" s="4"/>
      <c r="I361" s="4" t="s">
        <v>688</v>
      </c>
      <c r="J361" s="4" t="s">
        <v>688</v>
      </c>
      <c r="K361" s="6"/>
      <c r="L361" s="6">
        <v>17300</v>
      </c>
      <c r="M361" s="6">
        <f t="shared" si="6"/>
        <v>-250937.35000000006</v>
      </c>
      <c r="N361" s="4" t="s">
        <v>64</v>
      </c>
      <c r="O361" s="4" t="s">
        <v>65</v>
      </c>
      <c r="P361" s="4" t="s">
        <v>66</v>
      </c>
      <c r="Q361" s="4"/>
      <c r="R361" s="4" t="s">
        <v>0</v>
      </c>
      <c r="S361" s="4"/>
    </row>
    <row r="362" spans="1:19" x14ac:dyDescent="0.2">
      <c r="A362" s="17"/>
      <c r="B362" s="4" t="s">
        <v>45</v>
      </c>
      <c r="C362" s="4" t="s">
        <v>118</v>
      </c>
      <c r="D362" s="4" t="s">
        <v>119</v>
      </c>
      <c r="E362" s="5">
        <v>45237</v>
      </c>
      <c r="F362" s="4" t="s">
        <v>689</v>
      </c>
      <c r="G362" s="4"/>
      <c r="H362" s="4"/>
      <c r="I362" s="4" t="s">
        <v>690</v>
      </c>
      <c r="J362" s="4" t="s">
        <v>690</v>
      </c>
      <c r="K362" s="6"/>
      <c r="L362" s="6">
        <v>60538.28</v>
      </c>
      <c r="M362" s="6">
        <f t="shared" si="6"/>
        <v>-311475.63000000006</v>
      </c>
      <c r="N362" s="4" t="s">
        <v>64</v>
      </c>
      <c r="O362" s="4" t="s">
        <v>65</v>
      </c>
      <c r="P362" s="4" t="s">
        <v>66</v>
      </c>
      <c r="Q362" s="4"/>
      <c r="R362" s="4" t="s">
        <v>0</v>
      </c>
      <c r="S362" s="4"/>
    </row>
    <row r="363" spans="1:19" x14ac:dyDescent="0.2">
      <c r="A363" s="17"/>
      <c r="B363" s="4" t="s">
        <v>45</v>
      </c>
      <c r="C363" s="4" t="s">
        <v>118</v>
      </c>
      <c r="D363" s="4" t="s">
        <v>119</v>
      </c>
      <c r="E363" s="5">
        <v>45237</v>
      </c>
      <c r="F363" s="4" t="s">
        <v>691</v>
      </c>
      <c r="G363" s="4"/>
      <c r="H363" s="4"/>
      <c r="I363" s="4" t="s">
        <v>692</v>
      </c>
      <c r="J363" s="4" t="s">
        <v>692</v>
      </c>
      <c r="K363" s="6"/>
      <c r="L363" s="6">
        <v>7056</v>
      </c>
      <c r="M363" s="6">
        <f t="shared" si="6"/>
        <v>-318531.63000000006</v>
      </c>
      <c r="N363" s="4" t="s">
        <v>64</v>
      </c>
      <c r="O363" s="4" t="s">
        <v>65</v>
      </c>
      <c r="P363" s="4" t="s">
        <v>66</v>
      </c>
      <c r="Q363" s="4"/>
      <c r="R363" s="4" t="s">
        <v>0</v>
      </c>
      <c r="S363" s="4"/>
    </row>
    <row r="364" spans="1:19" x14ac:dyDescent="0.2">
      <c r="A364" s="17"/>
      <c r="B364" s="4" t="s">
        <v>45</v>
      </c>
      <c r="C364" s="4" t="s">
        <v>118</v>
      </c>
      <c r="D364" s="4" t="s">
        <v>119</v>
      </c>
      <c r="E364" s="5">
        <v>45237</v>
      </c>
      <c r="F364" s="4" t="s">
        <v>693</v>
      </c>
      <c r="G364" s="4"/>
      <c r="H364" s="4"/>
      <c r="I364" s="4" t="s">
        <v>694</v>
      </c>
      <c r="J364" s="4" t="s">
        <v>690</v>
      </c>
      <c r="K364" s="6">
        <v>60538.28</v>
      </c>
      <c r="L364" s="6"/>
      <c r="M364" s="6">
        <f t="shared" si="6"/>
        <v>-257993.35000000006</v>
      </c>
      <c r="N364" s="4" t="s">
        <v>64</v>
      </c>
      <c r="O364" s="4" t="s">
        <v>65</v>
      </c>
      <c r="P364" s="4" t="s">
        <v>66</v>
      </c>
      <c r="Q364" s="4"/>
      <c r="R364" s="4" t="s">
        <v>0</v>
      </c>
      <c r="S364" s="4"/>
    </row>
    <row r="365" spans="1:19" x14ac:dyDescent="0.2">
      <c r="A365" s="17"/>
      <c r="B365" s="4" t="s">
        <v>45</v>
      </c>
      <c r="C365" s="4" t="s">
        <v>118</v>
      </c>
      <c r="D365" s="4" t="s">
        <v>119</v>
      </c>
      <c r="E365" s="5">
        <v>45242</v>
      </c>
      <c r="F365" s="4" t="s">
        <v>695</v>
      </c>
      <c r="G365" s="4"/>
      <c r="H365" s="4"/>
      <c r="I365" s="4" t="s">
        <v>696</v>
      </c>
      <c r="J365" s="4" t="s">
        <v>696</v>
      </c>
      <c r="K365" s="6"/>
      <c r="L365" s="6">
        <v>497.96</v>
      </c>
      <c r="M365" s="6">
        <f t="shared" si="6"/>
        <v>-258491.31000000006</v>
      </c>
      <c r="N365" s="4" t="s">
        <v>64</v>
      </c>
      <c r="O365" s="4" t="s">
        <v>65</v>
      </c>
      <c r="P365" s="4" t="s">
        <v>66</v>
      </c>
      <c r="Q365" s="4"/>
      <c r="R365" s="4" t="s">
        <v>0</v>
      </c>
      <c r="S365" s="4"/>
    </row>
    <row r="366" spans="1:19" x14ac:dyDescent="0.2">
      <c r="A366" s="17"/>
      <c r="B366" s="4" t="s">
        <v>45</v>
      </c>
      <c r="C366" s="4" t="s">
        <v>118</v>
      </c>
      <c r="D366" s="4" t="s">
        <v>119</v>
      </c>
      <c r="E366" s="5">
        <v>45244</v>
      </c>
      <c r="F366" s="4" t="s">
        <v>697</v>
      </c>
      <c r="G366" s="4"/>
      <c r="H366" s="4"/>
      <c r="I366" s="4" t="s">
        <v>652</v>
      </c>
      <c r="J366" s="4" t="s">
        <v>652</v>
      </c>
      <c r="K366" s="6">
        <v>13806</v>
      </c>
      <c r="L366" s="6"/>
      <c r="M366" s="6">
        <f t="shared" si="6"/>
        <v>-244685.31000000006</v>
      </c>
      <c r="N366" s="4" t="s">
        <v>64</v>
      </c>
      <c r="O366" s="4" t="s">
        <v>65</v>
      </c>
      <c r="P366" s="4" t="s">
        <v>66</v>
      </c>
      <c r="Q366" s="4"/>
      <c r="R366" s="4" t="s">
        <v>0</v>
      </c>
      <c r="S366" s="4"/>
    </row>
    <row r="367" spans="1:19" x14ac:dyDescent="0.2">
      <c r="A367" s="17"/>
      <c r="B367" s="4" t="s">
        <v>45</v>
      </c>
      <c r="C367" s="4" t="s">
        <v>118</v>
      </c>
      <c r="D367" s="4" t="s">
        <v>119</v>
      </c>
      <c r="E367" s="5">
        <v>45244</v>
      </c>
      <c r="F367" s="4" t="s">
        <v>698</v>
      </c>
      <c r="G367" s="4"/>
      <c r="H367" s="4"/>
      <c r="I367" s="4" t="s">
        <v>699</v>
      </c>
      <c r="J367" s="4" t="s">
        <v>700</v>
      </c>
      <c r="K367" s="6">
        <v>13806</v>
      </c>
      <c r="L367" s="6"/>
      <c r="M367" s="6">
        <f t="shared" si="6"/>
        <v>-230879.31000000006</v>
      </c>
      <c r="N367" s="4" t="s">
        <v>64</v>
      </c>
      <c r="O367" s="4" t="s">
        <v>65</v>
      </c>
      <c r="P367" s="4" t="s">
        <v>66</v>
      </c>
      <c r="Q367" s="4"/>
      <c r="R367" s="4" t="s">
        <v>0</v>
      </c>
      <c r="S367" s="4"/>
    </row>
    <row r="368" spans="1:19" x14ac:dyDescent="0.2">
      <c r="A368" s="17"/>
      <c r="B368" s="4" t="s">
        <v>45</v>
      </c>
      <c r="C368" s="4" t="s">
        <v>118</v>
      </c>
      <c r="D368" s="4" t="s">
        <v>119</v>
      </c>
      <c r="E368" s="5">
        <v>45245</v>
      </c>
      <c r="F368" s="4" t="s">
        <v>701</v>
      </c>
      <c r="G368" s="4"/>
      <c r="H368" s="4"/>
      <c r="I368" s="4" t="s">
        <v>702</v>
      </c>
      <c r="J368" s="4" t="s">
        <v>673</v>
      </c>
      <c r="K368" s="6"/>
      <c r="L368" s="6">
        <v>7471.67</v>
      </c>
      <c r="M368" s="6">
        <f t="shared" si="6"/>
        <v>-238350.98000000007</v>
      </c>
      <c r="N368" s="4" t="s">
        <v>64</v>
      </c>
      <c r="O368" s="4" t="s">
        <v>65</v>
      </c>
      <c r="P368" s="4" t="s">
        <v>66</v>
      </c>
      <c r="Q368" s="4"/>
      <c r="R368" s="4" t="s">
        <v>0</v>
      </c>
      <c r="S368" s="4"/>
    </row>
    <row r="369" spans="1:19" x14ac:dyDescent="0.2">
      <c r="A369" s="17"/>
      <c r="B369" s="4" t="s">
        <v>45</v>
      </c>
      <c r="C369" s="4" t="s">
        <v>118</v>
      </c>
      <c r="D369" s="4" t="s">
        <v>119</v>
      </c>
      <c r="E369" s="5">
        <v>45246</v>
      </c>
      <c r="F369" s="4" t="s">
        <v>703</v>
      </c>
      <c r="G369" s="4"/>
      <c r="H369" s="4"/>
      <c r="I369" s="4" t="s">
        <v>704</v>
      </c>
      <c r="J369" s="4" t="s">
        <v>704</v>
      </c>
      <c r="K369" s="6"/>
      <c r="L369" s="6">
        <v>13806</v>
      </c>
      <c r="M369" s="6">
        <f t="shared" si="6"/>
        <v>-252156.98000000007</v>
      </c>
      <c r="N369" s="4" t="s">
        <v>64</v>
      </c>
      <c r="O369" s="4" t="s">
        <v>65</v>
      </c>
      <c r="P369" s="4" t="s">
        <v>66</v>
      </c>
      <c r="Q369" s="4"/>
      <c r="R369" s="4" t="s">
        <v>0</v>
      </c>
      <c r="S369" s="4"/>
    </row>
    <row r="370" spans="1:19" x14ac:dyDescent="0.2">
      <c r="A370" s="17"/>
      <c r="B370" s="4" t="s">
        <v>45</v>
      </c>
      <c r="C370" s="4" t="s">
        <v>118</v>
      </c>
      <c r="D370" s="4" t="s">
        <v>119</v>
      </c>
      <c r="E370" s="5">
        <v>45248</v>
      </c>
      <c r="F370" s="4" t="s">
        <v>705</v>
      </c>
      <c r="G370" s="4"/>
      <c r="H370" s="4"/>
      <c r="I370" s="4" t="s">
        <v>706</v>
      </c>
      <c r="J370" s="4" t="s">
        <v>706</v>
      </c>
      <c r="K370" s="6">
        <v>215907.72</v>
      </c>
      <c r="L370" s="6"/>
      <c r="M370" s="6">
        <f t="shared" si="6"/>
        <v>-36249.260000000068</v>
      </c>
      <c r="N370" s="4" t="s">
        <v>64</v>
      </c>
      <c r="O370" s="4" t="s">
        <v>65</v>
      </c>
      <c r="P370" s="4" t="s">
        <v>66</v>
      </c>
      <c r="Q370" s="4"/>
      <c r="R370" s="4" t="s">
        <v>0</v>
      </c>
      <c r="S370" s="4"/>
    </row>
    <row r="371" spans="1:19" x14ac:dyDescent="0.2">
      <c r="A371" s="17"/>
      <c r="B371" s="4" t="s">
        <v>45</v>
      </c>
      <c r="C371" s="4" t="s">
        <v>118</v>
      </c>
      <c r="D371" s="4" t="s">
        <v>119</v>
      </c>
      <c r="E371" s="5">
        <v>45251</v>
      </c>
      <c r="F371" s="4" t="s">
        <v>707</v>
      </c>
      <c r="G371" s="4"/>
      <c r="H371" s="4"/>
      <c r="I371" s="4" t="s">
        <v>708</v>
      </c>
      <c r="J371" s="4" t="s">
        <v>708</v>
      </c>
      <c r="K371" s="6"/>
      <c r="L371" s="6">
        <v>50000</v>
      </c>
      <c r="M371" s="6">
        <f t="shared" si="6"/>
        <v>-86249.260000000068</v>
      </c>
      <c r="N371" s="4" t="s">
        <v>64</v>
      </c>
      <c r="O371" s="4" t="s">
        <v>65</v>
      </c>
      <c r="P371" s="4" t="s">
        <v>66</v>
      </c>
      <c r="Q371" s="4"/>
      <c r="R371" s="4" t="s">
        <v>0</v>
      </c>
      <c r="S371" s="4"/>
    </row>
    <row r="372" spans="1:19" x14ac:dyDescent="0.2">
      <c r="A372" s="17"/>
      <c r="B372" s="4" t="s">
        <v>45</v>
      </c>
      <c r="C372" s="4" t="s">
        <v>118</v>
      </c>
      <c r="D372" s="4" t="s">
        <v>119</v>
      </c>
      <c r="E372" s="5">
        <v>45251</v>
      </c>
      <c r="F372" s="4" t="s">
        <v>709</v>
      </c>
      <c r="G372" s="4"/>
      <c r="H372" s="4"/>
      <c r="I372" s="4" t="s">
        <v>710</v>
      </c>
      <c r="J372" s="4" t="s">
        <v>710</v>
      </c>
      <c r="K372" s="6"/>
      <c r="L372" s="6">
        <v>104265</v>
      </c>
      <c r="M372" s="6">
        <f t="shared" si="6"/>
        <v>-190514.26000000007</v>
      </c>
      <c r="N372" s="4" t="s">
        <v>64</v>
      </c>
      <c r="O372" s="4" t="s">
        <v>92</v>
      </c>
      <c r="P372" s="4" t="s">
        <v>66</v>
      </c>
      <c r="Q372" s="4"/>
      <c r="R372" s="4" t="s">
        <v>0</v>
      </c>
      <c r="S372" s="4"/>
    </row>
    <row r="373" spans="1:19" x14ac:dyDescent="0.2">
      <c r="A373" s="17"/>
      <c r="B373" s="4" t="s">
        <v>45</v>
      </c>
      <c r="C373" s="4" t="s">
        <v>118</v>
      </c>
      <c r="D373" s="4" t="s">
        <v>119</v>
      </c>
      <c r="E373" s="5">
        <v>45255</v>
      </c>
      <c r="F373" s="4" t="s">
        <v>711</v>
      </c>
      <c r="G373" s="4"/>
      <c r="H373" s="4"/>
      <c r="I373" s="4" t="s">
        <v>712</v>
      </c>
      <c r="J373" s="4" t="s">
        <v>712</v>
      </c>
      <c r="K373" s="6"/>
      <c r="L373" s="6">
        <v>1053.92</v>
      </c>
      <c r="M373" s="6">
        <f t="shared" si="6"/>
        <v>-191568.18000000008</v>
      </c>
      <c r="N373" s="4" t="s">
        <v>64</v>
      </c>
      <c r="O373" s="4" t="s">
        <v>65</v>
      </c>
      <c r="P373" s="4" t="s">
        <v>66</v>
      </c>
      <c r="Q373" s="4"/>
      <c r="R373" s="4" t="s">
        <v>0</v>
      </c>
      <c r="S373" s="4"/>
    </row>
    <row r="374" spans="1:19" x14ac:dyDescent="0.2">
      <c r="A374" s="17"/>
      <c r="B374" s="4" t="s">
        <v>45</v>
      </c>
      <c r="C374" s="4" t="s">
        <v>118</v>
      </c>
      <c r="D374" s="4" t="s">
        <v>119</v>
      </c>
      <c r="E374" s="5">
        <v>45257</v>
      </c>
      <c r="F374" s="4" t="s">
        <v>713</v>
      </c>
      <c r="G374" s="4"/>
      <c r="H374" s="4"/>
      <c r="I374" s="4" t="s">
        <v>714</v>
      </c>
      <c r="J374" s="4"/>
      <c r="K374" s="6"/>
      <c r="L374" s="6">
        <v>34433.050000000003</v>
      </c>
      <c r="M374" s="6">
        <f t="shared" si="6"/>
        <v>-226001.2300000001</v>
      </c>
      <c r="N374" s="4" t="s">
        <v>64</v>
      </c>
      <c r="O374" s="4" t="s">
        <v>65</v>
      </c>
      <c r="P374" s="4" t="s">
        <v>66</v>
      </c>
      <c r="Q374" s="4"/>
      <c r="R374" s="4" t="s">
        <v>0</v>
      </c>
      <c r="S374" s="4"/>
    </row>
    <row r="375" spans="1:19" x14ac:dyDescent="0.2">
      <c r="A375" s="17"/>
      <c r="B375" s="4" t="s">
        <v>45</v>
      </c>
      <c r="C375" s="4" t="s">
        <v>118</v>
      </c>
      <c r="D375" s="4" t="s">
        <v>119</v>
      </c>
      <c r="E375" s="5">
        <v>45257</v>
      </c>
      <c r="F375" s="4" t="s">
        <v>715</v>
      </c>
      <c r="G375" s="4"/>
      <c r="H375" s="4"/>
      <c r="I375" s="4" t="s">
        <v>716</v>
      </c>
      <c r="J375" s="4" t="s">
        <v>716</v>
      </c>
      <c r="K375" s="6"/>
      <c r="L375" s="6">
        <v>4750</v>
      </c>
      <c r="M375" s="6">
        <f t="shared" si="6"/>
        <v>-230751.2300000001</v>
      </c>
      <c r="N375" s="4" t="s">
        <v>64</v>
      </c>
      <c r="O375" s="4" t="s">
        <v>65</v>
      </c>
      <c r="P375" s="4" t="s">
        <v>66</v>
      </c>
      <c r="Q375" s="4"/>
      <c r="R375" s="4" t="s">
        <v>0</v>
      </c>
      <c r="S375" s="4"/>
    </row>
    <row r="376" spans="1:19" x14ac:dyDescent="0.2">
      <c r="A376" s="17"/>
      <c r="B376" s="4" t="s">
        <v>45</v>
      </c>
      <c r="C376" s="4" t="s">
        <v>118</v>
      </c>
      <c r="D376" s="4" t="s">
        <v>119</v>
      </c>
      <c r="E376" s="5">
        <v>45259</v>
      </c>
      <c r="F376" s="4" t="s">
        <v>717</v>
      </c>
      <c r="G376" s="4"/>
      <c r="H376" s="4"/>
      <c r="I376" s="4" t="s">
        <v>718</v>
      </c>
      <c r="J376" s="4"/>
      <c r="K376" s="6"/>
      <c r="L376" s="6">
        <v>126474</v>
      </c>
      <c r="M376" s="6">
        <f t="shared" si="6"/>
        <v>-357225.2300000001</v>
      </c>
      <c r="N376" s="4" t="s">
        <v>64</v>
      </c>
      <c r="O376" s="4" t="s">
        <v>92</v>
      </c>
      <c r="P376" s="4" t="s">
        <v>66</v>
      </c>
      <c r="Q376" s="4"/>
      <c r="R376" s="4" t="s">
        <v>0</v>
      </c>
      <c r="S376" s="4"/>
    </row>
    <row r="377" spans="1:19" x14ac:dyDescent="0.2">
      <c r="A377" s="17"/>
      <c r="B377" s="4" t="s">
        <v>45</v>
      </c>
      <c r="C377" s="4" t="s">
        <v>118</v>
      </c>
      <c r="D377" s="4" t="s">
        <v>119</v>
      </c>
      <c r="E377" s="5">
        <v>45259</v>
      </c>
      <c r="F377" s="4" t="s">
        <v>719</v>
      </c>
      <c r="G377" s="4"/>
      <c r="H377" s="4"/>
      <c r="I377" s="4" t="s">
        <v>720</v>
      </c>
      <c r="J377" s="4"/>
      <c r="K377" s="6">
        <v>126474</v>
      </c>
      <c r="L377" s="6"/>
      <c r="M377" s="6">
        <f t="shared" si="6"/>
        <v>-230751.2300000001</v>
      </c>
      <c r="N377" s="4" t="s">
        <v>64</v>
      </c>
      <c r="O377" s="4" t="s">
        <v>92</v>
      </c>
      <c r="P377" s="4" t="s">
        <v>66</v>
      </c>
      <c r="Q377" s="4"/>
      <c r="R377" s="4" t="s">
        <v>0</v>
      </c>
      <c r="S377" s="4"/>
    </row>
    <row r="378" spans="1:19" x14ac:dyDescent="0.2">
      <c r="A378" s="17"/>
      <c r="B378" s="4" t="s">
        <v>45</v>
      </c>
      <c r="C378" s="4" t="s">
        <v>118</v>
      </c>
      <c r="D378" s="4" t="s">
        <v>119</v>
      </c>
      <c r="E378" s="5">
        <v>45260</v>
      </c>
      <c r="F378" s="4" t="s">
        <v>721</v>
      </c>
      <c r="G378" s="4"/>
      <c r="H378" s="4"/>
      <c r="I378" s="4" t="s">
        <v>722</v>
      </c>
      <c r="J378" s="4" t="s">
        <v>723</v>
      </c>
      <c r="K378" s="6">
        <v>1775.93</v>
      </c>
      <c r="L378" s="6"/>
      <c r="M378" s="6">
        <f t="shared" si="6"/>
        <v>-228975.3000000001</v>
      </c>
      <c r="N378" s="4" t="s">
        <v>64</v>
      </c>
      <c r="O378" s="4" t="s">
        <v>65</v>
      </c>
      <c r="P378" s="4" t="s">
        <v>66</v>
      </c>
      <c r="Q378" s="4"/>
      <c r="R378" s="4" t="s">
        <v>0</v>
      </c>
      <c r="S378" s="4"/>
    </row>
    <row r="379" spans="1:19" x14ac:dyDescent="0.2">
      <c r="A379" s="17"/>
      <c r="B379" s="4" t="s">
        <v>45</v>
      </c>
      <c r="C379" s="4" t="s">
        <v>118</v>
      </c>
      <c r="D379" s="4" t="s">
        <v>119</v>
      </c>
      <c r="E379" s="5">
        <v>45260</v>
      </c>
      <c r="F379" s="4" t="s">
        <v>724</v>
      </c>
      <c r="G379" s="4"/>
      <c r="H379" s="4"/>
      <c r="I379" s="4" t="s">
        <v>723</v>
      </c>
      <c r="J379" s="4" t="s">
        <v>723</v>
      </c>
      <c r="K379" s="6"/>
      <c r="L379" s="6">
        <v>1775.93</v>
      </c>
      <c r="M379" s="6">
        <f t="shared" si="6"/>
        <v>-230751.2300000001</v>
      </c>
      <c r="N379" s="4" t="s">
        <v>64</v>
      </c>
      <c r="O379" s="4" t="s">
        <v>65</v>
      </c>
      <c r="P379" s="4" t="s">
        <v>66</v>
      </c>
      <c r="Q379" s="4"/>
      <c r="R379" s="4" t="s">
        <v>0</v>
      </c>
      <c r="S379" s="4"/>
    </row>
    <row r="380" spans="1:19" x14ac:dyDescent="0.2">
      <c r="A380" s="17"/>
      <c r="B380" s="4" t="s">
        <v>45</v>
      </c>
      <c r="C380" s="4" t="s">
        <v>118</v>
      </c>
      <c r="D380" s="4" t="s">
        <v>119</v>
      </c>
      <c r="E380" s="5">
        <v>45261</v>
      </c>
      <c r="F380" s="4" t="s">
        <v>725</v>
      </c>
      <c r="G380" s="4"/>
      <c r="H380" s="4"/>
      <c r="I380" s="4" t="s">
        <v>726</v>
      </c>
      <c r="J380" s="4" t="s">
        <v>726</v>
      </c>
      <c r="K380" s="6"/>
      <c r="L380" s="6">
        <v>1900</v>
      </c>
      <c r="M380" s="6">
        <f t="shared" si="6"/>
        <v>-232651.2300000001</v>
      </c>
      <c r="N380" s="4" t="s">
        <v>64</v>
      </c>
      <c r="O380" s="4" t="s">
        <v>65</v>
      </c>
      <c r="P380" s="4" t="s">
        <v>66</v>
      </c>
      <c r="Q380" s="4"/>
      <c r="R380" s="4" t="s">
        <v>0</v>
      </c>
      <c r="S380" s="4"/>
    </row>
    <row r="381" spans="1:19" x14ac:dyDescent="0.2">
      <c r="A381" s="17"/>
      <c r="B381" s="4" t="s">
        <v>45</v>
      </c>
      <c r="C381" s="4" t="s">
        <v>118</v>
      </c>
      <c r="D381" s="4" t="s">
        <v>119</v>
      </c>
      <c r="E381" s="5">
        <v>45261</v>
      </c>
      <c r="F381" s="4" t="s">
        <v>727</v>
      </c>
      <c r="G381" s="4"/>
      <c r="H381" s="4"/>
      <c r="I381" s="4" t="s">
        <v>728</v>
      </c>
      <c r="J381" s="4" t="s">
        <v>728</v>
      </c>
      <c r="K381" s="6">
        <v>1900</v>
      </c>
      <c r="L381" s="6"/>
      <c r="M381" s="6">
        <f t="shared" si="6"/>
        <v>-230751.2300000001</v>
      </c>
      <c r="N381" s="4" t="s">
        <v>64</v>
      </c>
      <c r="O381" s="4" t="s">
        <v>65</v>
      </c>
      <c r="P381" s="4" t="s">
        <v>66</v>
      </c>
      <c r="Q381" s="4"/>
      <c r="R381" s="4" t="s">
        <v>0</v>
      </c>
      <c r="S381" s="4"/>
    </row>
    <row r="382" spans="1:19" x14ac:dyDescent="0.2">
      <c r="A382" s="17"/>
      <c r="B382" s="4" t="s">
        <v>45</v>
      </c>
      <c r="C382" s="4" t="s">
        <v>118</v>
      </c>
      <c r="D382" s="4" t="s">
        <v>119</v>
      </c>
      <c r="E382" s="5">
        <v>45265</v>
      </c>
      <c r="F382" s="4" t="s">
        <v>729</v>
      </c>
      <c r="G382" s="4"/>
      <c r="H382" s="4"/>
      <c r="I382" s="4" t="s">
        <v>730</v>
      </c>
      <c r="J382" s="4" t="s">
        <v>706</v>
      </c>
      <c r="K382" s="6">
        <v>13230</v>
      </c>
      <c r="L382" s="6"/>
      <c r="M382" s="6">
        <f t="shared" si="6"/>
        <v>-217521.2300000001</v>
      </c>
      <c r="N382" s="4" t="s">
        <v>64</v>
      </c>
      <c r="O382" s="4" t="s">
        <v>65</v>
      </c>
      <c r="P382" s="4" t="s">
        <v>66</v>
      </c>
      <c r="Q382" s="4"/>
      <c r="R382" s="4" t="s">
        <v>0</v>
      </c>
      <c r="S382" s="4"/>
    </row>
    <row r="383" spans="1:19" x14ac:dyDescent="0.2">
      <c r="A383" s="17"/>
      <c r="B383" s="4" t="s">
        <v>45</v>
      </c>
      <c r="C383" s="4" t="s">
        <v>118</v>
      </c>
      <c r="D383" s="4" t="s">
        <v>119</v>
      </c>
      <c r="E383" s="5">
        <v>45270</v>
      </c>
      <c r="F383" s="4" t="s">
        <v>731</v>
      </c>
      <c r="G383" s="4"/>
      <c r="H383" s="4"/>
      <c r="I383" s="4" t="s">
        <v>732</v>
      </c>
      <c r="J383" s="4" t="s">
        <v>733</v>
      </c>
      <c r="K383" s="6">
        <v>280</v>
      </c>
      <c r="L383" s="6"/>
      <c r="M383" s="6">
        <f t="shared" si="6"/>
        <v>-217241.2300000001</v>
      </c>
      <c r="N383" s="4" t="s">
        <v>64</v>
      </c>
      <c r="O383" s="4" t="s">
        <v>92</v>
      </c>
      <c r="P383" s="4" t="s">
        <v>66</v>
      </c>
      <c r="Q383" s="4"/>
      <c r="R383" s="4" t="s">
        <v>0</v>
      </c>
      <c r="S383" s="4"/>
    </row>
    <row r="384" spans="1:19" x14ac:dyDescent="0.2">
      <c r="A384" s="17"/>
      <c r="B384" s="4" t="s">
        <v>45</v>
      </c>
      <c r="C384" s="4" t="s">
        <v>118</v>
      </c>
      <c r="D384" s="4" t="s">
        <v>119</v>
      </c>
      <c r="E384" s="5">
        <v>45270</v>
      </c>
      <c r="F384" s="4" t="s">
        <v>734</v>
      </c>
      <c r="G384" s="4"/>
      <c r="H384" s="4"/>
      <c r="I384" s="4" t="s">
        <v>733</v>
      </c>
      <c r="J384" s="4" t="s">
        <v>733</v>
      </c>
      <c r="K384" s="6"/>
      <c r="L384" s="6">
        <v>280</v>
      </c>
      <c r="M384" s="6">
        <f t="shared" si="6"/>
        <v>-217521.2300000001</v>
      </c>
      <c r="N384" s="4" t="s">
        <v>64</v>
      </c>
      <c r="O384" s="4" t="s">
        <v>92</v>
      </c>
      <c r="P384" s="4" t="s">
        <v>66</v>
      </c>
      <c r="Q384" s="4"/>
      <c r="R384" s="4" t="s">
        <v>0</v>
      </c>
      <c r="S384" s="4"/>
    </row>
    <row r="385" spans="1:19" x14ac:dyDescent="0.2">
      <c r="A385" s="17"/>
      <c r="B385" s="4" t="s">
        <v>45</v>
      </c>
      <c r="C385" s="4" t="s">
        <v>118</v>
      </c>
      <c r="D385" s="4" t="s">
        <v>119</v>
      </c>
      <c r="E385" s="5">
        <v>45271</v>
      </c>
      <c r="F385" s="4" t="s">
        <v>735</v>
      </c>
      <c r="G385" s="4"/>
      <c r="H385" s="4"/>
      <c r="I385" s="4" t="s">
        <v>736</v>
      </c>
      <c r="J385" s="4" t="s">
        <v>736</v>
      </c>
      <c r="K385" s="6"/>
      <c r="L385" s="6">
        <v>36862.35</v>
      </c>
      <c r="M385" s="6">
        <f t="shared" si="6"/>
        <v>-254383.5800000001</v>
      </c>
      <c r="N385" s="4" t="s">
        <v>64</v>
      </c>
      <c r="O385" s="4" t="s">
        <v>65</v>
      </c>
      <c r="P385" s="4" t="s">
        <v>66</v>
      </c>
      <c r="Q385" s="4"/>
      <c r="R385" s="4" t="s">
        <v>0</v>
      </c>
      <c r="S385" s="4"/>
    </row>
    <row r="386" spans="1:19" x14ac:dyDescent="0.2">
      <c r="A386" s="17"/>
      <c r="B386" s="4" t="s">
        <v>45</v>
      </c>
      <c r="C386" s="4" t="s">
        <v>118</v>
      </c>
      <c r="D386" s="4" t="s">
        <v>119</v>
      </c>
      <c r="E386" s="5">
        <v>45271</v>
      </c>
      <c r="F386" s="4" t="s">
        <v>737</v>
      </c>
      <c r="G386" s="4"/>
      <c r="H386" s="4"/>
      <c r="I386" s="4" t="s">
        <v>738</v>
      </c>
      <c r="J386" s="4" t="s">
        <v>738</v>
      </c>
      <c r="K386" s="6">
        <v>36862.35</v>
      </c>
      <c r="L386" s="6"/>
      <c r="M386" s="6">
        <f t="shared" si="6"/>
        <v>-217521.2300000001</v>
      </c>
      <c r="N386" s="4" t="s">
        <v>64</v>
      </c>
      <c r="O386" s="4" t="s">
        <v>65</v>
      </c>
      <c r="P386" s="4" t="s">
        <v>66</v>
      </c>
      <c r="Q386" s="4"/>
      <c r="R386" s="4" t="s">
        <v>0</v>
      </c>
      <c r="S386" s="4"/>
    </row>
    <row r="387" spans="1:19" x14ac:dyDescent="0.2">
      <c r="A387" s="17"/>
      <c r="B387" s="4" t="s">
        <v>45</v>
      </c>
      <c r="C387" s="4" t="s">
        <v>118</v>
      </c>
      <c r="D387" s="4" t="s">
        <v>119</v>
      </c>
      <c r="E387" s="5">
        <v>45273</v>
      </c>
      <c r="F387" s="4" t="s">
        <v>739</v>
      </c>
      <c r="G387" s="4"/>
      <c r="H387" s="4"/>
      <c r="I387" s="4" t="s">
        <v>700</v>
      </c>
      <c r="J387" s="4" t="s">
        <v>700</v>
      </c>
      <c r="K387" s="6">
        <v>13806</v>
      </c>
      <c r="L387" s="6"/>
      <c r="M387" s="6">
        <f t="shared" si="6"/>
        <v>-203715.2300000001</v>
      </c>
      <c r="N387" s="4" t="s">
        <v>64</v>
      </c>
      <c r="O387" s="4" t="s">
        <v>65</v>
      </c>
      <c r="P387" s="4" t="s">
        <v>66</v>
      </c>
      <c r="Q387" s="4"/>
      <c r="R387" s="4" t="s">
        <v>0</v>
      </c>
      <c r="S387" s="4"/>
    </row>
    <row r="388" spans="1:19" x14ac:dyDescent="0.2">
      <c r="A388" s="17"/>
      <c r="B388" s="4" t="s">
        <v>45</v>
      </c>
      <c r="C388" s="4" t="s">
        <v>118</v>
      </c>
      <c r="D388" s="4" t="s">
        <v>119</v>
      </c>
      <c r="E388" s="5">
        <v>45274</v>
      </c>
      <c r="F388" s="4" t="s">
        <v>740</v>
      </c>
      <c r="G388" s="4"/>
      <c r="H388" s="4"/>
      <c r="I388" s="4" t="s">
        <v>741</v>
      </c>
      <c r="J388" s="4" t="s">
        <v>741</v>
      </c>
      <c r="K388" s="6"/>
      <c r="L388" s="6">
        <v>2006.55</v>
      </c>
      <c r="M388" s="6">
        <f t="shared" si="6"/>
        <v>-205721.78000000009</v>
      </c>
      <c r="N388" s="4" t="s">
        <v>64</v>
      </c>
      <c r="O388" s="4" t="s">
        <v>65</v>
      </c>
      <c r="P388" s="4" t="s">
        <v>66</v>
      </c>
      <c r="Q388" s="4"/>
      <c r="R388" s="4" t="s">
        <v>0</v>
      </c>
      <c r="S388" s="4"/>
    </row>
    <row r="389" spans="1:19" x14ac:dyDescent="0.2">
      <c r="A389" s="17"/>
      <c r="B389" s="4" t="s">
        <v>45</v>
      </c>
      <c r="C389" s="4" t="s">
        <v>118</v>
      </c>
      <c r="D389" s="4" t="s">
        <v>119</v>
      </c>
      <c r="E389" s="5">
        <v>45276</v>
      </c>
      <c r="F389" s="4" t="s">
        <v>742</v>
      </c>
      <c r="G389" s="4"/>
      <c r="H389" s="4"/>
      <c r="I389" s="4" t="s">
        <v>743</v>
      </c>
      <c r="J389" s="4" t="s">
        <v>743</v>
      </c>
      <c r="K389" s="6">
        <v>13806</v>
      </c>
      <c r="L389" s="6"/>
      <c r="M389" s="6">
        <f t="shared" si="6"/>
        <v>-191915.78000000009</v>
      </c>
      <c r="N389" s="4" t="s">
        <v>64</v>
      </c>
      <c r="O389" s="4" t="s">
        <v>65</v>
      </c>
      <c r="P389" s="4" t="s">
        <v>66</v>
      </c>
      <c r="Q389" s="4"/>
      <c r="R389" s="4" t="s">
        <v>0</v>
      </c>
      <c r="S389" s="4"/>
    </row>
    <row r="390" spans="1:19" x14ac:dyDescent="0.2">
      <c r="A390" s="17"/>
      <c r="B390" s="4" t="s">
        <v>45</v>
      </c>
      <c r="C390" s="4" t="s">
        <v>118</v>
      </c>
      <c r="D390" s="4" t="s">
        <v>119</v>
      </c>
      <c r="E390" s="5">
        <v>45276</v>
      </c>
      <c r="F390" s="4" t="s">
        <v>744</v>
      </c>
      <c r="G390" s="4"/>
      <c r="H390" s="4"/>
      <c r="I390" s="4" t="s">
        <v>745</v>
      </c>
      <c r="J390" s="4" t="s">
        <v>745</v>
      </c>
      <c r="K390" s="6"/>
      <c r="L390" s="6">
        <v>13806</v>
      </c>
      <c r="M390" s="6">
        <f t="shared" si="6"/>
        <v>-205721.78000000009</v>
      </c>
      <c r="N390" s="4" t="s">
        <v>64</v>
      </c>
      <c r="O390" s="4" t="s">
        <v>65</v>
      </c>
      <c r="P390" s="4" t="s">
        <v>66</v>
      </c>
      <c r="Q390" s="4"/>
      <c r="R390" s="4" t="s">
        <v>0</v>
      </c>
      <c r="S390" s="4"/>
    </row>
    <row r="391" spans="1:19" x14ac:dyDescent="0.2">
      <c r="A391" s="17"/>
      <c r="B391" s="4" t="s">
        <v>45</v>
      </c>
      <c r="C391" s="4" t="s">
        <v>118</v>
      </c>
      <c r="D391" s="4" t="s">
        <v>119</v>
      </c>
      <c r="E391" s="5">
        <v>45279</v>
      </c>
      <c r="F391" s="4" t="s">
        <v>746</v>
      </c>
      <c r="G391" s="4"/>
      <c r="H391" s="4"/>
      <c r="I391" s="4" t="s">
        <v>747</v>
      </c>
      <c r="J391" s="4"/>
      <c r="K391" s="6">
        <v>28888.5</v>
      </c>
      <c r="L391" s="6"/>
      <c r="M391" s="6">
        <f t="shared" si="6"/>
        <v>-176833.28000000009</v>
      </c>
      <c r="N391" s="4" t="s">
        <v>64</v>
      </c>
      <c r="O391" s="4" t="s">
        <v>92</v>
      </c>
      <c r="P391" s="4" t="s">
        <v>66</v>
      </c>
      <c r="Q391" s="4"/>
      <c r="R391" s="4" t="s">
        <v>0</v>
      </c>
      <c r="S391" s="4"/>
    </row>
    <row r="392" spans="1:19" x14ac:dyDescent="0.2">
      <c r="A392" s="17"/>
      <c r="B392" s="4" t="s">
        <v>45</v>
      </c>
      <c r="C392" s="4" t="s">
        <v>118</v>
      </c>
      <c r="D392" s="4" t="s">
        <v>119</v>
      </c>
      <c r="E392" s="5">
        <v>45279</v>
      </c>
      <c r="F392" s="4" t="s">
        <v>748</v>
      </c>
      <c r="G392" s="4"/>
      <c r="H392" s="4"/>
      <c r="I392" s="4" t="s">
        <v>749</v>
      </c>
      <c r="J392" s="4" t="s">
        <v>749</v>
      </c>
      <c r="K392" s="6"/>
      <c r="L392" s="6">
        <v>420</v>
      </c>
      <c r="M392" s="6">
        <f t="shared" si="6"/>
        <v>-177253.28000000009</v>
      </c>
      <c r="N392" s="4" t="s">
        <v>64</v>
      </c>
      <c r="O392" s="4" t="s">
        <v>65</v>
      </c>
      <c r="P392" s="4" t="s">
        <v>66</v>
      </c>
      <c r="Q392" s="4"/>
      <c r="R392" s="4" t="s">
        <v>0</v>
      </c>
      <c r="S392" s="4"/>
    </row>
    <row r="393" spans="1:19" x14ac:dyDescent="0.2">
      <c r="A393" s="17"/>
      <c r="B393" s="4" t="s">
        <v>45</v>
      </c>
      <c r="C393" s="4" t="s">
        <v>118</v>
      </c>
      <c r="D393" s="4" t="s">
        <v>119</v>
      </c>
      <c r="E393" s="5">
        <v>45279</v>
      </c>
      <c r="F393" s="4" t="s">
        <v>750</v>
      </c>
      <c r="G393" s="4"/>
      <c r="H393" s="4"/>
      <c r="I393" s="4" t="s">
        <v>751</v>
      </c>
      <c r="J393" s="4" t="s">
        <v>751</v>
      </c>
      <c r="K393" s="6">
        <v>22966.13</v>
      </c>
      <c r="L393" s="6"/>
      <c r="M393" s="6">
        <f t="shared" si="6"/>
        <v>-154287.15000000008</v>
      </c>
      <c r="N393" s="4" t="s">
        <v>64</v>
      </c>
      <c r="O393" s="4" t="s">
        <v>65</v>
      </c>
      <c r="P393" s="4" t="s">
        <v>66</v>
      </c>
      <c r="Q393" s="4"/>
      <c r="R393" s="4" t="s">
        <v>0</v>
      </c>
      <c r="S393" s="4"/>
    </row>
    <row r="394" spans="1:19" x14ac:dyDescent="0.2">
      <c r="A394" s="17"/>
      <c r="B394" s="4" t="s">
        <v>45</v>
      </c>
      <c r="C394" s="4" t="s">
        <v>118</v>
      </c>
      <c r="D394" s="4" t="s">
        <v>119</v>
      </c>
      <c r="E394" s="5">
        <v>45279</v>
      </c>
      <c r="F394" s="4" t="s">
        <v>752</v>
      </c>
      <c r="G394" s="4"/>
      <c r="H394" s="4"/>
      <c r="I394" s="4" t="s">
        <v>753</v>
      </c>
      <c r="J394" s="4"/>
      <c r="K394" s="6"/>
      <c r="L394" s="6">
        <v>28888.5</v>
      </c>
      <c r="M394" s="6">
        <f t="shared" si="6"/>
        <v>-183175.65000000008</v>
      </c>
      <c r="N394" s="4" t="s">
        <v>64</v>
      </c>
      <c r="O394" s="4" t="s">
        <v>92</v>
      </c>
      <c r="P394" s="4" t="s">
        <v>66</v>
      </c>
      <c r="Q394" s="4"/>
      <c r="R394" s="4" t="s">
        <v>0</v>
      </c>
      <c r="S394" s="4"/>
    </row>
    <row r="395" spans="1:19" x14ac:dyDescent="0.2">
      <c r="A395" s="17"/>
      <c r="B395" s="4" t="s">
        <v>45</v>
      </c>
      <c r="C395" s="4" t="s">
        <v>118</v>
      </c>
      <c r="D395" s="4" t="s">
        <v>119</v>
      </c>
      <c r="E395" s="5">
        <v>45279</v>
      </c>
      <c r="F395" s="4" t="s">
        <v>754</v>
      </c>
      <c r="G395" s="4"/>
      <c r="H395" s="4"/>
      <c r="I395" s="4" t="s">
        <v>755</v>
      </c>
      <c r="J395" s="4"/>
      <c r="K395" s="6">
        <v>28888.5</v>
      </c>
      <c r="L395" s="6"/>
      <c r="M395" s="6">
        <f t="shared" si="6"/>
        <v>-154287.15000000008</v>
      </c>
      <c r="N395" s="4" t="s">
        <v>64</v>
      </c>
      <c r="O395" s="4" t="s">
        <v>92</v>
      </c>
      <c r="P395" s="4" t="s">
        <v>66</v>
      </c>
      <c r="Q395" s="4"/>
      <c r="R395" s="4" t="s">
        <v>0</v>
      </c>
      <c r="S395" s="4"/>
    </row>
    <row r="396" spans="1:19" x14ac:dyDescent="0.2">
      <c r="A396" s="17"/>
      <c r="B396" s="4" t="s">
        <v>45</v>
      </c>
      <c r="C396" s="4" t="s">
        <v>118</v>
      </c>
      <c r="D396" s="4" t="s">
        <v>119</v>
      </c>
      <c r="E396" s="5">
        <v>45280</v>
      </c>
      <c r="F396" s="4" t="s">
        <v>756</v>
      </c>
      <c r="G396" s="4"/>
      <c r="H396" s="4"/>
      <c r="I396" s="4" t="s">
        <v>757</v>
      </c>
      <c r="J396" s="4" t="s">
        <v>757</v>
      </c>
      <c r="K396" s="6">
        <v>41520.78</v>
      </c>
      <c r="L396" s="6"/>
      <c r="M396" s="6">
        <f t="shared" ref="M396:M403" si="7">M395+K396-L396</f>
        <v>-112766.37000000008</v>
      </c>
      <c r="N396" s="4" t="s">
        <v>64</v>
      </c>
      <c r="O396" s="4" t="s">
        <v>65</v>
      </c>
      <c r="P396" s="4" t="s">
        <v>66</v>
      </c>
      <c r="Q396" s="4"/>
      <c r="R396" s="4" t="s">
        <v>0</v>
      </c>
      <c r="S396" s="4"/>
    </row>
    <row r="397" spans="1:19" x14ac:dyDescent="0.2">
      <c r="A397" s="17"/>
      <c r="B397" s="4" t="s">
        <v>45</v>
      </c>
      <c r="C397" s="4" t="s">
        <v>118</v>
      </c>
      <c r="D397" s="4" t="s">
        <v>119</v>
      </c>
      <c r="E397" s="5">
        <v>45283</v>
      </c>
      <c r="F397" s="4" t="s">
        <v>758</v>
      </c>
      <c r="G397" s="4"/>
      <c r="H397" s="4"/>
      <c r="I397" s="4" t="s">
        <v>759</v>
      </c>
      <c r="J397" s="4" t="s">
        <v>759</v>
      </c>
      <c r="K397" s="6">
        <v>150000</v>
      </c>
      <c r="L397" s="6"/>
      <c r="M397" s="6">
        <f t="shared" si="7"/>
        <v>37233.629999999917</v>
      </c>
      <c r="N397" s="4" t="s">
        <v>64</v>
      </c>
      <c r="O397" s="4" t="s">
        <v>65</v>
      </c>
      <c r="P397" s="4" t="s">
        <v>66</v>
      </c>
      <c r="Q397" s="4"/>
      <c r="R397" s="4" t="s">
        <v>0</v>
      </c>
      <c r="S397" s="4"/>
    </row>
    <row r="398" spans="1:19" x14ac:dyDescent="0.2">
      <c r="A398" s="17"/>
      <c r="B398" s="4" t="s">
        <v>45</v>
      </c>
      <c r="C398" s="4" t="s">
        <v>118</v>
      </c>
      <c r="D398" s="4" t="s">
        <v>119</v>
      </c>
      <c r="E398" s="5">
        <v>45286</v>
      </c>
      <c r="F398" s="4" t="s">
        <v>760</v>
      </c>
      <c r="G398" s="4"/>
      <c r="H398" s="4"/>
      <c r="I398" s="4" t="s">
        <v>761</v>
      </c>
      <c r="J398" s="4" t="s">
        <v>761</v>
      </c>
      <c r="K398" s="6"/>
      <c r="L398" s="6">
        <v>59500</v>
      </c>
      <c r="M398" s="6">
        <f t="shared" si="7"/>
        <v>-22266.370000000083</v>
      </c>
      <c r="N398" s="4" t="s">
        <v>64</v>
      </c>
      <c r="O398" s="4" t="s">
        <v>65</v>
      </c>
      <c r="P398" s="4" t="s">
        <v>66</v>
      </c>
      <c r="Q398" s="4"/>
      <c r="R398" s="4" t="s">
        <v>0</v>
      </c>
      <c r="S398" s="4"/>
    </row>
    <row r="399" spans="1:19" x14ac:dyDescent="0.2">
      <c r="A399" s="17"/>
      <c r="B399" s="4" t="s">
        <v>45</v>
      </c>
      <c r="C399" s="4" t="s">
        <v>118</v>
      </c>
      <c r="D399" s="4" t="s">
        <v>119</v>
      </c>
      <c r="E399" s="5">
        <v>45287</v>
      </c>
      <c r="F399" s="4" t="s">
        <v>762</v>
      </c>
      <c r="G399" s="4"/>
      <c r="H399" s="4"/>
      <c r="I399" s="4" t="s">
        <v>763</v>
      </c>
      <c r="J399" s="4" t="s">
        <v>764</v>
      </c>
      <c r="K399" s="6"/>
      <c r="L399" s="6">
        <v>13806</v>
      </c>
      <c r="M399" s="6">
        <f t="shared" si="7"/>
        <v>-36072.370000000083</v>
      </c>
      <c r="N399" s="4" t="s">
        <v>64</v>
      </c>
      <c r="O399" s="4" t="s">
        <v>65</v>
      </c>
      <c r="P399" s="4" t="s">
        <v>66</v>
      </c>
      <c r="Q399" s="4"/>
      <c r="R399" s="4" t="s">
        <v>0</v>
      </c>
      <c r="S399" s="4"/>
    </row>
    <row r="400" spans="1:19" x14ac:dyDescent="0.2">
      <c r="A400" s="17"/>
      <c r="B400" s="4" t="s">
        <v>45</v>
      </c>
      <c r="C400" s="4" t="s">
        <v>118</v>
      </c>
      <c r="D400" s="4" t="s">
        <v>119</v>
      </c>
      <c r="E400" s="5">
        <v>45287</v>
      </c>
      <c r="F400" s="4" t="s">
        <v>765</v>
      </c>
      <c r="G400" s="4"/>
      <c r="H400" s="4"/>
      <c r="I400" s="4" t="s">
        <v>766</v>
      </c>
      <c r="J400" s="4" t="s">
        <v>766</v>
      </c>
      <c r="K400" s="6"/>
      <c r="L400" s="6">
        <v>13806</v>
      </c>
      <c r="M400" s="6">
        <f t="shared" si="7"/>
        <v>-49878.370000000083</v>
      </c>
      <c r="N400" s="4" t="s">
        <v>64</v>
      </c>
      <c r="O400" s="4" t="s">
        <v>65</v>
      </c>
      <c r="P400" s="4" t="s">
        <v>66</v>
      </c>
      <c r="Q400" s="4"/>
      <c r="R400" s="4" t="s">
        <v>0</v>
      </c>
      <c r="S400" s="4"/>
    </row>
    <row r="401" spans="1:19" x14ac:dyDescent="0.2">
      <c r="A401" s="17"/>
      <c r="B401" s="4" t="s">
        <v>45</v>
      </c>
      <c r="C401" s="4" t="s">
        <v>118</v>
      </c>
      <c r="D401" s="4" t="s">
        <v>119</v>
      </c>
      <c r="E401" s="5">
        <v>45290</v>
      </c>
      <c r="F401" s="4" t="s">
        <v>767</v>
      </c>
      <c r="G401" s="4"/>
      <c r="H401" s="4"/>
      <c r="I401" s="4" t="s">
        <v>749</v>
      </c>
      <c r="J401" s="4" t="s">
        <v>749</v>
      </c>
      <c r="K401" s="6"/>
      <c r="L401" s="6">
        <v>10.5</v>
      </c>
      <c r="M401" s="6">
        <f t="shared" si="7"/>
        <v>-49888.870000000083</v>
      </c>
      <c r="N401" s="4" t="s">
        <v>64</v>
      </c>
      <c r="O401" s="4" t="s">
        <v>65</v>
      </c>
      <c r="P401" s="4" t="s">
        <v>66</v>
      </c>
      <c r="Q401" s="4"/>
      <c r="R401" s="4" t="s">
        <v>0</v>
      </c>
      <c r="S401" s="4"/>
    </row>
    <row r="402" spans="1:19" x14ac:dyDescent="0.2">
      <c r="A402" s="17"/>
      <c r="B402" s="4" t="s">
        <v>45</v>
      </c>
      <c r="C402" s="4" t="s">
        <v>118</v>
      </c>
      <c r="D402" s="4" t="s">
        <v>119</v>
      </c>
      <c r="E402" s="5">
        <v>45291</v>
      </c>
      <c r="F402" s="4" t="s">
        <v>768</v>
      </c>
      <c r="G402" s="4"/>
      <c r="H402" s="4"/>
      <c r="I402" s="4" t="s">
        <v>769</v>
      </c>
      <c r="J402" s="4" t="s">
        <v>769</v>
      </c>
      <c r="K402" s="6">
        <v>1991.84</v>
      </c>
      <c r="L402" s="6"/>
      <c r="M402" s="6">
        <f t="shared" si="7"/>
        <v>-47897.030000000086</v>
      </c>
      <c r="N402" s="4" t="s">
        <v>64</v>
      </c>
      <c r="O402" s="4" t="s">
        <v>65</v>
      </c>
      <c r="P402" s="4" t="s">
        <v>66</v>
      </c>
      <c r="Q402" s="4"/>
      <c r="R402" s="4" t="s">
        <v>0</v>
      </c>
      <c r="S402" s="4"/>
    </row>
    <row r="403" spans="1:19" x14ac:dyDescent="0.2">
      <c r="A403" s="17"/>
      <c r="B403" s="4" t="s">
        <v>45</v>
      </c>
      <c r="C403" s="4" t="s">
        <v>118</v>
      </c>
      <c r="D403" s="4" t="s">
        <v>119</v>
      </c>
      <c r="E403" s="5">
        <v>45291</v>
      </c>
      <c r="F403" s="4" t="s">
        <v>770</v>
      </c>
      <c r="G403" s="4"/>
      <c r="H403" s="4"/>
      <c r="I403" s="4" t="s">
        <v>771</v>
      </c>
      <c r="J403" s="4" t="s">
        <v>771</v>
      </c>
      <c r="K403" s="6">
        <v>80386.600000000006</v>
      </c>
      <c r="L403" s="6"/>
      <c r="M403" s="6">
        <f t="shared" si="7"/>
        <v>32489.56999999992</v>
      </c>
      <c r="N403" s="4" t="s">
        <v>64</v>
      </c>
      <c r="O403" s="4" t="s">
        <v>92</v>
      </c>
      <c r="P403" s="4" t="s">
        <v>66</v>
      </c>
      <c r="Q403" s="4"/>
      <c r="R403" s="4" t="s">
        <v>0</v>
      </c>
      <c r="S403" s="4"/>
    </row>
    <row r="404" spans="1:19" x14ac:dyDescent="0.2">
      <c r="A404" s="14" t="s">
        <v>772</v>
      </c>
      <c r="B404" s="11"/>
      <c r="C404" s="11"/>
      <c r="D404" s="11"/>
      <c r="E404" s="12"/>
      <c r="F404" s="11"/>
      <c r="G404" s="11"/>
      <c r="H404" s="11"/>
      <c r="I404" s="11"/>
      <c r="J404" s="11"/>
      <c r="K404" s="13">
        <f>SUM(K75:K403)</f>
        <v>3522774.67</v>
      </c>
      <c r="L404" s="13">
        <f>SUM(L75:L403)</f>
        <v>3519135.8299999991</v>
      </c>
      <c r="M404" s="13">
        <f>M403</f>
        <v>32489.56999999992</v>
      </c>
      <c r="N404" s="11"/>
      <c r="O404" s="11"/>
      <c r="P404" s="11"/>
      <c r="Q404" s="11"/>
      <c r="R404" s="11"/>
      <c r="S404" s="11"/>
    </row>
    <row r="405" spans="1:19" x14ac:dyDescent="0.2">
      <c r="A405" s="8" t="s">
        <v>773</v>
      </c>
      <c r="B405" s="4"/>
      <c r="C405" s="4"/>
      <c r="D405" s="4"/>
      <c r="E405" s="5"/>
      <c r="F405" s="4"/>
      <c r="G405" s="4"/>
      <c r="H405" s="4"/>
      <c r="I405" s="4"/>
      <c r="J405" s="4"/>
      <c r="K405" s="6"/>
      <c r="L405" s="6"/>
      <c r="M405" s="6">
        <v>10201.26</v>
      </c>
      <c r="N405" s="4"/>
      <c r="O405" s="4"/>
      <c r="P405" s="4"/>
      <c r="Q405" s="4"/>
      <c r="R405" s="4"/>
      <c r="S405" s="4"/>
    </row>
    <row r="406" spans="1:19" x14ac:dyDescent="0.2">
      <c r="A406" s="14" t="s">
        <v>774</v>
      </c>
      <c r="B406" s="11"/>
      <c r="C406" s="11"/>
      <c r="D406" s="11"/>
      <c r="E406" s="12"/>
      <c r="F406" s="11"/>
      <c r="G406" s="11"/>
      <c r="H406" s="11"/>
      <c r="I406" s="11"/>
      <c r="J406" s="11"/>
      <c r="K406" s="13">
        <f>SUM(K405)</f>
        <v>0</v>
      </c>
      <c r="L406" s="13">
        <f>SUM(L405)</f>
        <v>0</v>
      </c>
      <c r="M406" s="13">
        <f>M405</f>
        <v>10201.26</v>
      </c>
      <c r="N406" s="11"/>
      <c r="O406" s="11"/>
      <c r="P406" s="11"/>
      <c r="Q406" s="11"/>
      <c r="R406" s="11"/>
      <c r="S406" s="11"/>
    </row>
    <row r="407" spans="1:19" x14ac:dyDescent="0.2">
      <c r="A407" s="15" t="s">
        <v>775</v>
      </c>
      <c r="B407" s="11"/>
      <c r="C407" s="11"/>
      <c r="D407" s="11"/>
      <c r="E407" s="12"/>
      <c r="F407" s="11"/>
      <c r="G407" s="11"/>
      <c r="H407" s="11"/>
      <c r="I407" s="11"/>
      <c r="J407" s="11"/>
      <c r="K407" s="13">
        <f>SUM(K74,K404,K406)</f>
        <v>3522774.67</v>
      </c>
      <c r="L407" s="13">
        <f>SUM(L74,L404,L406)</f>
        <v>3519135.8299999991</v>
      </c>
      <c r="M407" s="13">
        <f>M74+M404+M406</f>
        <v>42690.829999999922</v>
      </c>
      <c r="N407" s="11"/>
      <c r="O407" s="11"/>
      <c r="P407" s="11"/>
      <c r="Q407" s="11"/>
      <c r="R407" s="11"/>
      <c r="S407" s="11"/>
    </row>
    <row r="408" spans="1:19" x14ac:dyDescent="0.2">
      <c r="A408" s="11" t="s">
        <v>776</v>
      </c>
      <c r="B408" s="11"/>
      <c r="C408" s="11"/>
      <c r="D408" s="11"/>
      <c r="E408" s="12"/>
      <c r="F408" s="11"/>
      <c r="G408" s="11"/>
      <c r="H408" s="11"/>
      <c r="I408" s="11"/>
      <c r="J408" s="11"/>
      <c r="K408" s="13">
        <f>SUM(K73,K407)</f>
        <v>3522774.67</v>
      </c>
      <c r="L408" s="13">
        <f>SUM(L73,L407)</f>
        <v>3519135.8299999991</v>
      </c>
      <c r="M408" s="13">
        <f>M73+M407</f>
        <v>42690.829999999922</v>
      </c>
      <c r="N408" s="11"/>
      <c r="O408" s="11"/>
      <c r="P408" s="11"/>
      <c r="Q408" s="11"/>
      <c r="R408" s="11"/>
      <c r="S408" s="11"/>
    </row>
    <row r="410" spans="1:19" x14ac:dyDescent="0.2">
      <c r="A410" s="3" t="s">
        <v>115</v>
      </c>
      <c r="B410" s="4"/>
      <c r="C410" s="4"/>
      <c r="D410" s="4"/>
      <c r="E410" s="5"/>
      <c r="F410" s="4"/>
      <c r="G410" s="4"/>
      <c r="H410" s="4"/>
      <c r="I410" s="4"/>
      <c r="J410" s="4"/>
      <c r="K410" s="6"/>
      <c r="L410" s="6"/>
      <c r="M410" s="6">
        <v>0</v>
      </c>
      <c r="N410" s="4"/>
      <c r="O410" s="4"/>
      <c r="P410" s="4"/>
      <c r="Q410" s="4"/>
      <c r="R410" s="4"/>
      <c r="S410" s="4"/>
    </row>
    <row r="411" spans="1:19" x14ac:dyDescent="0.2">
      <c r="A411" s="7" t="s">
        <v>777</v>
      </c>
      <c r="B411" s="4"/>
      <c r="C411" s="4"/>
      <c r="D411" s="4"/>
      <c r="E411" s="5"/>
      <c r="F411" s="4"/>
      <c r="G411" s="4"/>
      <c r="H411" s="4"/>
      <c r="I411" s="4"/>
      <c r="J411" s="4"/>
      <c r="K411" s="6"/>
      <c r="L411" s="6"/>
      <c r="M411" s="6">
        <v>0</v>
      </c>
      <c r="N411" s="4"/>
      <c r="O411" s="4"/>
      <c r="P411" s="4"/>
      <c r="Q411" s="4"/>
      <c r="R411" s="4"/>
      <c r="S411" s="4"/>
    </row>
    <row r="412" spans="1:19" x14ac:dyDescent="0.2">
      <c r="A412" s="8" t="s">
        <v>778</v>
      </c>
      <c r="B412" s="4"/>
      <c r="C412" s="4"/>
      <c r="D412" s="4"/>
      <c r="E412" s="5"/>
      <c r="F412" s="4"/>
      <c r="G412" s="4"/>
      <c r="H412" s="4"/>
      <c r="I412" s="4"/>
      <c r="J412" s="4"/>
      <c r="K412" s="6"/>
      <c r="L412" s="6"/>
      <c r="M412" s="6">
        <v>5997.86</v>
      </c>
      <c r="N412" s="4"/>
      <c r="O412" s="4"/>
      <c r="P412" s="4"/>
      <c r="Q412" s="4"/>
      <c r="R412" s="4"/>
      <c r="S412" s="4"/>
    </row>
    <row r="413" spans="1:19" x14ac:dyDescent="0.2">
      <c r="A413" s="14" t="s">
        <v>779</v>
      </c>
      <c r="B413" s="11"/>
      <c r="C413" s="11"/>
      <c r="D413" s="11"/>
      <c r="E413" s="12"/>
      <c r="F413" s="11"/>
      <c r="G413" s="11"/>
      <c r="H413" s="11"/>
      <c r="I413" s="11"/>
      <c r="J413" s="11"/>
      <c r="K413" s="13">
        <f>SUM(K412:K412)</f>
        <v>0</v>
      </c>
      <c r="L413" s="13">
        <f>SUM(L412:L412)</f>
        <v>0</v>
      </c>
      <c r="M413" s="13">
        <f>M412</f>
        <v>5997.86</v>
      </c>
      <c r="N413" s="11"/>
      <c r="O413" s="11"/>
      <c r="P413" s="11"/>
      <c r="Q413" s="11"/>
      <c r="R413" s="11"/>
      <c r="S413" s="11"/>
    </row>
    <row r="414" spans="1:19" x14ac:dyDescent="0.2">
      <c r="A414" s="15" t="s">
        <v>780</v>
      </c>
      <c r="B414" s="11"/>
      <c r="C414" s="11"/>
      <c r="D414" s="11"/>
      <c r="E414" s="12"/>
      <c r="F414" s="11"/>
      <c r="G414" s="11"/>
      <c r="H414" s="11"/>
      <c r="I414" s="11"/>
      <c r="J414" s="11"/>
      <c r="K414" s="13">
        <f>SUM(K411,K413)</f>
        <v>0</v>
      </c>
      <c r="L414" s="13">
        <f>SUM(L411,L413)</f>
        <v>0</v>
      </c>
      <c r="M414" s="13">
        <f>M411+M413</f>
        <v>5997.86</v>
      </c>
      <c r="N414" s="11"/>
      <c r="O414" s="11"/>
      <c r="P414" s="11"/>
      <c r="Q414" s="11"/>
      <c r="R414" s="11"/>
      <c r="S414" s="11"/>
    </row>
    <row r="415" spans="1:19" x14ac:dyDescent="0.2">
      <c r="A415" s="11" t="s">
        <v>776</v>
      </c>
      <c r="B415" s="11"/>
      <c r="C415" s="11"/>
      <c r="D415" s="11"/>
      <c r="E415" s="12"/>
      <c r="F415" s="11"/>
      <c r="G415" s="11"/>
      <c r="H415" s="11"/>
      <c r="I415" s="11"/>
      <c r="J415" s="11"/>
      <c r="K415" s="13">
        <f>SUM(K410,K414)</f>
        <v>0</v>
      </c>
      <c r="L415" s="13">
        <f>SUM(L410,L414)</f>
        <v>0</v>
      </c>
      <c r="M415" s="13">
        <f>M410+M414</f>
        <v>5997.86</v>
      </c>
      <c r="N415" s="11"/>
      <c r="O415" s="11"/>
      <c r="P415" s="11"/>
      <c r="Q415" s="11"/>
      <c r="R415" s="11"/>
      <c r="S415" s="11"/>
    </row>
    <row r="417" spans="1:19" x14ac:dyDescent="0.2">
      <c r="A417" s="3" t="s">
        <v>781</v>
      </c>
      <c r="B417" s="4"/>
      <c r="C417" s="4"/>
      <c r="D417" s="4"/>
      <c r="E417" s="5"/>
      <c r="F417" s="4"/>
      <c r="G417" s="4"/>
      <c r="H417" s="4"/>
      <c r="I417" s="4"/>
      <c r="J417" s="4"/>
      <c r="K417" s="6"/>
      <c r="L417" s="6"/>
      <c r="M417" s="6">
        <v>0</v>
      </c>
      <c r="N417" s="4"/>
      <c r="O417" s="4"/>
      <c r="P417" s="4"/>
      <c r="Q417" s="4"/>
      <c r="R417" s="4"/>
      <c r="S417" s="4"/>
    </row>
    <row r="418" spans="1:19" x14ac:dyDescent="0.2">
      <c r="A418" s="7" t="s">
        <v>782</v>
      </c>
      <c r="B418" s="4"/>
      <c r="C418" s="4"/>
      <c r="D418" s="4"/>
      <c r="E418" s="5"/>
      <c r="F418" s="4"/>
      <c r="G418" s="4"/>
      <c r="H418" s="4"/>
      <c r="I418" s="4"/>
      <c r="J418" s="4"/>
      <c r="K418" s="6"/>
      <c r="L418" s="6"/>
      <c r="M418" s="6">
        <v>-300000</v>
      </c>
      <c r="N418" s="4"/>
      <c r="O418" s="4"/>
      <c r="P418" s="4"/>
      <c r="Q418" s="4"/>
      <c r="R418" s="4"/>
      <c r="S418" s="4"/>
    </row>
    <row r="419" spans="1:19" x14ac:dyDescent="0.2">
      <c r="A419" s="15" t="s">
        <v>783</v>
      </c>
      <c r="B419" s="11"/>
      <c r="C419" s="11"/>
      <c r="D419" s="11"/>
      <c r="E419" s="12"/>
      <c r="F419" s="11"/>
      <c r="G419" s="11"/>
      <c r="H419" s="11"/>
      <c r="I419" s="11"/>
      <c r="J419" s="11"/>
      <c r="K419" s="13">
        <f>SUM(K418)</f>
        <v>0</v>
      </c>
      <c r="L419" s="13">
        <f>SUM(L418)</f>
        <v>0</v>
      </c>
      <c r="M419" s="13">
        <f>M418</f>
        <v>-300000</v>
      </c>
      <c r="N419" s="11"/>
      <c r="O419" s="11"/>
      <c r="P419" s="11"/>
      <c r="Q419" s="11"/>
      <c r="R419" s="11"/>
      <c r="S419" s="11"/>
    </row>
    <row r="420" spans="1:19" x14ac:dyDescent="0.2">
      <c r="A420" s="7" t="s">
        <v>784</v>
      </c>
      <c r="B420" s="4"/>
      <c r="C420" s="4"/>
      <c r="D420" s="4"/>
      <c r="E420" s="5"/>
      <c r="F420" s="4"/>
      <c r="G420" s="4"/>
      <c r="H420" s="4"/>
      <c r="I420" s="4"/>
      <c r="J420" s="4"/>
      <c r="K420" s="6"/>
      <c r="L420" s="6"/>
      <c r="M420" s="6">
        <v>4073444.53</v>
      </c>
      <c r="N420" s="4"/>
      <c r="O420" s="4"/>
      <c r="P420" s="4"/>
      <c r="Q420" s="4"/>
      <c r="R420" s="4"/>
      <c r="S420" s="4"/>
    </row>
    <row r="421" spans="1:19" x14ac:dyDescent="0.2">
      <c r="A421" s="15" t="s">
        <v>785</v>
      </c>
      <c r="B421" s="11"/>
      <c r="C421" s="11"/>
      <c r="D421" s="11"/>
      <c r="E421" s="12"/>
      <c r="F421" s="11"/>
      <c r="G421" s="11"/>
      <c r="H421" s="11"/>
      <c r="I421" s="11"/>
      <c r="J421" s="11"/>
      <c r="K421" s="13">
        <f>SUM(K420)</f>
        <v>0</v>
      </c>
      <c r="L421" s="13">
        <f>SUM(L420)</f>
        <v>0</v>
      </c>
      <c r="M421" s="13">
        <f>M420</f>
        <v>4073444.53</v>
      </c>
      <c r="N421" s="11"/>
      <c r="O421" s="11"/>
      <c r="P421" s="11"/>
      <c r="Q421" s="11"/>
      <c r="R421" s="11"/>
      <c r="S421" s="11"/>
    </row>
    <row r="422" spans="1:19" x14ac:dyDescent="0.2">
      <c r="A422" s="7" t="s">
        <v>786</v>
      </c>
      <c r="B422" s="4"/>
      <c r="C422" s="4"/>
      <c r="D422" s="4"/>
      <c r="E422" s="5"/>
      <c r="F422" s="4"/>
      <c r="G422" s="4"/>
      <c r="H422" s="4"/>
      <c r="I422" s="4"/>
      <c r="J422" s="4"/>
      <c r="K422" s="6"/>
      <c r="L422" s="6"/>
      <c r="M422" s="6">
        <v>0</v>
      </c>
      <c r="N422" s="4"/>
      <c r="O422" s="4"/>
      <c r="P422" s="4"/>
      <c r="Q422" s="4"/>
      <c r="R422" s="4"/>
      <c r="S422" s="4"/>
    </row>
    <row r="423" spans="1:19" x14ac:dyDescent="0.2">
      <c r="A423" s="16"/>
      <c r="B423" s="4" t="s">
        <v>45</v>
      </c>
      <c r="C423" s="4" t="s">
        <v>787</v>
      </c>
      <c r="D423" s="4" t="s">
        <v>788</v>
      </c>
      <c r="E423" s="5">
        <v>45177</v>
      </c>
      <c r="F423" s="4" t="s">
        <v>586</v>
      </c>
      <c r="G423" s="4"/>
      <c r="H423" s="4"/>
      <c r="I423" s="4" t="s">
        <v>587</v>
      </c>
      <c r="J423" s="4" t="s">
        <v>587</v>
      </c>
      <c r="K423" s="6"/>
      <c r="L423" s="6">
        <v>127000</v>
      </c>
      <c r="M423" s="6">
        <f>M422+K423-L423</f>
        <v>-127000</v>
      </c>
      <c r="N423" s="4" t="s">
        <v>64</v>
      </c>
      <c r="O423" s="4" t="s">
        <v>65</v>
      </c>
      <c r="P423" s="4" t="s">
        <v>66</v>
      </c>
      <c r="Q423" s="4"/>
      <c r="R423" s="4" t="s">
        <v>0</v>
      </c>
      <c r="S423" s="4"/>
    </row>
    <row r="424" spans="1:19" x14ac:dyDescent="0.2">
      <c r="A424" s="15" t="s">
        <v>789</v>
      </c>
      <c r="B424" s="11"/>
      <c r="C424" s="11"/>
      <c r="D424" s="11"/>
      <c r="E424" s="12"/>
      <c r="F424" s="11"/>
      <c r="G424" s="11"/>
      <c r="H424" s="11"/>
      <c r="I424" s="11"/>
      <c r="J424" s="11"/>
      <c r="K424" s="13">
        <f>SUM(K422:K423)</f>
        <v>0</v>
      </c>
      <c r="L424" s="13">
        <f>SUM(L422:L423)</f>
        <v>127000</v>
      </c>
      <c r="M424" s="13">
        <f>M423</f>
        <v>-127000</v>
      </c>
      <c r="N424" s="11"/>
      <c r="O424" s="11"/>
      <c r="P424" s="11"/>
      <c r="Q424" s="11"/>
      <c r="R424" s="11"/>
      <c r="S424" s="11"/>
    </row>
    <row r="425" spans="1:19" x14ac:dyDescent="0.2">
      <c r="A425" s="7" t="s">
        <v>790</v>
      </c>
      <c r="B425" s="4"/>
      <c r="C425" s="4"/>
      <c r="D425" s="4"/>
      <c r="E425" s="5"/>
      <c r="F425" s="4"/>
      <c r="G425" s="4"/>
      <c r="H425" s="4"/>
      <c r="I425" s="4"/>
      <c r="J425" s="4"/>
      <c r="K425" s="6"/>
      <c r="L425" s="6"/>
      <c r="M425" s="6">
        <v>10848.09</v>
      </c>
      <c r="N425" s="4"/>
      <c r="O425" s="4"/>
      <c r="P425" s="4"/>
      <c r="Q425" s="4"/>
      <c r="R425" s="4"/>
      <c r="S425" s="4"/>
    </row>
    <row r="426" spans="1:19" x14ac:dyDescent="0.2">
      <c r="A426" s="15" t="s">
        <v>791</v>
      </c>
      <c r="B426" s="11"/>
      <c r="C426" s="11"/>
      <c r="D426" s="11"/>
      <c r="E426" s="12"/>
      <c r="F426" s="11"/>
      <c r="G426" s="11"/>
      <c r="H426" s="11"/>
      <c r="I426" s="11"/>
      <c r="J426" s="11"/>
      <c r="K426" s="13">
        <f>SUM(K425)</f>
        <v>0</v>
      </c>
      <c r="L426" s="13">
        <f>SUM(L425)</f>
        <v>0</v>
      </c>
      <c r="M426" s="13">
        <f>M425</f>
        <v>10848.09</v>
      </c>
      <c r="N426" s="11"/>
      <c r="O426" s="11"/>
      <c r="P426" s="11"/>
      <c r="Q426" s="11"/>
      <c r="R426" s="11"/>
      <c r="S426" s="11"/>
    </row>
    <row r="427" spans="1:19" x14ac:dyDescent="0.2">
      <c r="A427" s="7" t="s">
        <v>792</v>
      </c>
      <c r="B427" s="4"/>
      <c r="C427" s="4"/>
      <c r="D427" s="4"/>
      <c r="E427" s="5"/>
      <c r="F427" s="4"/>
      <c r="G427" s="4"/>
      <c r="H427" s="4"/>
      <c r="I427" s="4"/>
      <c r="J427" s="4"/>
      <c r="K427" s="6"/>
      <c r="L427" s="6"/>
      <c r="M427" s="6">
        <v>-150000</v>
      </c>
      <c r="N427" s="4"/>
      <c r="O427" s="4"/>
      <c r="P427" s="4"/>
      <c r="Q427" s="4"/>
      <c r="R427" s="4"/>
      <c r="S427" s="4"/>
    </row>
    <row r="428" spans="1:19" x14ac:dyDescent="0.2">
      <c r="A428" s="15" t="s">
        <v>793</v>
      </c>
      <c r="B428" s="11"/>
      <c r="C428" s="11"/>
      <c r="D428" s="11"/>
      <c r="E428" s="12"/>
      <c r="F428" s="11"/>
      <c r="G428" s="11"/>
      <c r="H428" s="11"/>
      <c r="I428" s="11"/>
      <c r="J428" s="11"/>
      <c r="K428" s="13">
        <f>SUM(K427)</f>
        <v>0</v>
      </c>
      <c r="L428" s="13">
        <f>SUM(L427)</f>
        <v>0</v>
      </c>
      <c r="M428" s="13">
        <f>M427</f>
        <v>-150000</v>
      </c>
      <c r="N428" s="11"/>
      <c r="O428" s="11"/>
      <c r="P428" s="11"/>
      <c r="Q428" s="11"/>
      <c r="R428" s="11"/>
      <c r="S428" s="11"/>
    </row>
    <row r="430" spans="1:19" x14ac:dyDescent="0.2">
      <c r="A430" s="3" t="s">
        <v>794</v>
      </c>
      <c r="B430" s="4"/>
      <c r="C430" s="4"/>
      <c r="D430" s="4"/>
      <c r="E430" s="5"/>
      <c r="F430" s="4"/>
      <c r="G430" s="4"/>
      <c r="H430" s="4"/>
      <c r="I430" s="4"/>
      <c r="J430" s="4"/>
      <c r="K430" s="6"/>
      <c r="L430" s="6"/>
      <c r="M430" s="6">
        <v>0</v>
      </c>
      <c r="N430" s="4"/>
      <c r="O430" s="4"/>
      <c r="P430" s="4"/>
      <c r="Q430" s="4"/>
      <c r="R430" s="4"/>
      <c r="S430" s="4"/>
    </row>
    <row r="431" spans="1:19" x14ac:dyDescent="0.2">
      <c r="A431" s="7" t="s">
        <v>795</v>
      </c>
      <c r="B431" s="4"/>
      <c r="C431" s="4"/>
      <c r="D431" s="4"/>
      <c r="E431" s="5"/>
      <c r="F431" s="4"/>
      <c r="G431" s="4"/>
      <c r="H431" s="4"/>
      <c r="I431" s="4"/>
      <c r="J431" s="4"/>
      <c r="K431" s="6"/>
      <c r="L431" s="6"/>
      <c r="M431" s="6">
        <v>-42206.87</v>
      </c>
      <c r="N431" s="4"/>
      <c r="O431" s="4"/>
      <c r="P431" s="4"/>
      <c r="Q431" s="4"/>
      <c r="R431" s="4"/>
      <c r="S431" s="4"/>
    </row>
    <row r="432" spans="1:19" x14ac:dyDescent="0.2">
      <c r="A432" s="16"/>
      <c r="B432" s="4" t="s">
        <v>45</v>
      </c>
      <c r="C432" s="4" t="s">
        <v>796</v>
      </c>
      <c r="D432" s="4" t="s">
        <v>797</v>
      </c>
      <c r="E432" s="5">
        <v>44931</v>
      </c>
      <c r="F432" s="4" t="s">
        <v>798</v>
      </c>
      <c r="G432" s="4"/>
      <c r="H432" s="4"/>
      <c r="I432" s="4" t="s">
        <v>799</v>
      </c>
      <c r="J432" s="4" t="s">
        <v>800</v>
      </c>
      <c r="K432" s="6">
        <v>3790.65</v>
      </c>
      <c r="L432" s="6"/>
      <c r="M432" s="6">
        <f t="shared" ref="M432:M454" si="8">M431+K432-L432</f>
        <v>-38416.22</v>
      </c>
      <c r="N432" s="4" t="s">
        <v>64</v>
      </c>
      <c r="O432" s="4" t="s">
        <v>65</v>
      </c>
      <c r="P432" s="4" t="s">
        <v>66</v>
      </c>
      <c r="Q432" s="4"/>
      <c r="R432" s="4" t="s">
        <v>0</v>
      </c>
      <c r="S432" s="4"/>
    </row>
    <row r="433" spans="1:19" x14ac:dyDescent="0.2">
      <c r="A433" s="16"/>
      <c r="B433" s="4" t="s">
        <v>45</v>
      </c>
      <c r="C433" s="4" t="s">
        <v>796</v>
      </c>
      <c r="D433" s="4" t="s">
        <v>797</v>
      </c>
      <c r="E433" s="5">
        <v>44936</v>
      </c>
      <c r="F433" s="4" t="s">
        <v>801</v>
      </c>
      <c r="G433" s="4"/>
      <c r="H433" s="4"/>
      <c r="I433" s="4" t="s">
        <v>802</v>
      </c>
      <c r="J433" s="4" t="s">
        <v>803</v>
      </c>
      <c r="K433" s="6">
        <v>10720</v>
      </c>
      <c r="L433" s="6"/>
      <c r="M433" s="6">
        <f t="shared" si="8"/>
        <v>-27696.22</v>
      </c>
      <c r="N433" s="4" t="s">
        <v>64</v>
      </c>
      <c r="O433" s="4" t="s">
        <v>92</v>
      </c>
      <c r="P433" s="4" t="s">
        <v>66</v>
      </c>
      <c r="Q433" s="4"/>
      <c r="R433" s="4" t="s">
        <v>0</v>
      </c>
      <c r="S433" s="4"/>
    </row>
    <row r="434" spans="1:19" x14ac:dyDescent="0.2">
      <c r="A434" s="16"/>
      <c r="B434" s="4" t="s">
        <v>45</v>
      </c>
      <c r="C434" s="4" t="s">
        <v>796</v>
      </c>
      <c r="D434" s="4" t="s">
        <v>797</v>
      </c>
      <c r="E434" s="5">
        <v>44939</v>
      </c>
      <c r="F434" s="4" t="s">
        <v>146</v>
      </c>
      <c r="G434" s="4"/>
      <c r="H434" s="4"/>
      <c r="I434" s="4" t="s">
        <v>147</v>
      </c>
      <c r="J434" s="4" t="s">
        <v>147</v>
      </c>
      <c r="K434" s="6">
        <v>5068.33</v>
      </c>
      <c r="L434" s="6"/>
      <c r="M434" s="6">
        <f t="shared" si="8"/>
        <v>-22627.89</v>
      </c>
      <c r="N434" s="4" t="s">
        <v>64</v>
      </c>
      <c r="O434" s="4" t="s">
        <v>65</v>
      </c>
      <c r="P434" s="4" t="s">
        <v>66</v>
      </c>
      <c r="Q434" s="4"/>
      <c r="R434" s="4" t="s">
        <v>0</v>
      </c>
      <c r="S434" s="4"/>
    </row>
    <row r="435" spans="1:19" x14ac:dyDescent="0.2">
      <c r="A435" s="16"/>
      <c r="B435" s="4" t="s">
        <v>45</v>
      </c>
      <c r="C435" s="4" t="s">
        <v>796</v>
      </c>
      <c r="D435" s="4" t="s">
        <v>797</v>
      </c>
      <c r="E435" s="5">
        <v>44951</v>
      </c>
      <c r="F435" s="4" t="s">
        <v>188</v>
      </c>
      <c r="G435" s="4"/>
      <c r="H435" s="4"/>
      <c r="I435" s="4" t="s">
        <v>189</v>
      </c>
      <c r="J435" s="4" t="s">
        <v>452</v>
      </c>
      <c r="K435" s="6">
        <v>15</v>
      </c>
      <c r="L435" s="6"/>
      <c r="M435" s="6">
        <f t="shared" si="8"/>
        <v>-22612.89</v>
      </c>
      <c r="N435" s="4" t="s">
        <v>64</v>
      </c>
      <c r="O435" s="4" t="s">
        <v>65</v>
      </c>
      <c r="P435" s="4" t="s">
        <v>66</v>
      </c>
      <c r="Q435" s="4"/>
      <c r="R435" s="4" t="s">
        <v>0</v>
      </c>
      <c r="S435" s="4"/>
    </row>
    <row r="436" spans="1:19" x14ac:dyDescent="0.2">
      <c r="A436" s="16"/>
      <c r="B436" s="4" t="s">
        <v>45</v>
      </c>
      <c r="C436" s="4" t="s">
        <v>796</v>
      </c>
      <c r="D436" s="4" t="s">
        <v>797</v>
      </c>
      <c r="E436" s="5">
        <v>44954</v>
      </c>
      <c r="F436" s="4" t="s">
        <v>209</v>
      </c>
      <c r="G436" s="4"/>
      <c r="H436" s="4"/>
      <c r="I436" s="4" t="s">
        <v>210</v>
      </c>
      <c r="J436" s="4" t="s">
        <v>210</v>
      </c>
      <c r="K436" s="6">
        <v>16813.75</v>
      </c>
      <c r="L436" s="6"/>
      <c r="M436" s="6">
        <f t="shared" si="8"/>
        <v>-5799.1399999999994</v>
      </c>
      <c r="N436" s="4" t="s">
        <v>64</v>
      </c>
      <c r="O436" s="4" t="s">
        <v>65</v>
      </c>
      <c r="P436" s="4" t="s">
        <v>66</v>
      </c>
      <c r="Q436" s="4"/>
      <c r="R436" s="4" t="s">
        <v>0</v>
      </c>
      <c r="S436" s="4"/>
    </row>
    <row r="437" spans="1:19" x14ac:dyDescent="0.2">
      <c r="A437" s="16"/>
      <c r="B437" s="4" t="s">
        <v>45</v>
      </c>
      <c r="C437" s="4" t="s">
        <v>796</v>
      </c>
      <c r="D437" s="4" t="s">
        <v>797</v>
      </c>
      <c r="E437" s="5">
        <v>44970</v>
      </c>
      <c r="F437" s="4" t="s">
        <v>244</v>
      </c>
      <c r="G437" s="4"/>
      <c r="H437" s="4"/>
      <c r="I437" s="4" t="s">
        <v>245</v>
      </c>
      <c r="J437" s="4" t="s">
        <v>245</v>
      </c>
      <c r="K437" s="6">
        <v>5068.33</v>
      </c>
      <c r="L437" s="6"/>
      <c r="M437" s="6">
        <f t="shared" si="8"/>
        <v>-730.80999999999949</v>
      </c>
      <c r="N437" s="4" t="s">
        <v>64</v>
      </c>
      <c r="O437" s="4" t="s">
        <v>65</v>
      </c>
      <c r="P437" s="4" t="s">
        <v>66</v>
      </c>
      <c r="Q437" s="4"/>
      <c r="R437" s="4" t="s">
        <v>0</v>
      </c>
      <c r="S437" s="4"/>
    </row>
    <row r="438" spans="1:19" x14ac:dyDescent="0.2">
      <c r="A438" s="16"/>
      <c r="B438" s="4" t="s">
        <v>45</v>
      </c>
      <c r="C438" s="4" t="s">
        <v>796</v>
      </c>
      <c r="D438" s="4" t="s">
        <v>797</v>
      </c>
      <c r="E438" s="5">
        <v>44985</v>
      </c>
      <c r="F438" s="4" t="s">
        <v>284</v>
      </c>
      <c r="G438" s="4"/>
      <c r="H438" s="4"/>
      <c r="I438" s="4" t="s">
        <v>285</v>
      </c>
      <c r="J438" s="4" t="s">
        <v>285</v>
      </c>
      <c r="K438" s="6">
        <v>16813.75</v>
      </c>
      <c r="L438" s="6"/>
      <c r="M438" s="6">
        <f t="shared" si="8"/>
        <v>16082.94</v>
      </c>
      <c r="N438" s="4" t="s">
        <v>64</v>
      </c>
      <c r="O438" s="4" t="s">
        <v>65</v>
      </c>
      <c r="P438" s="4" t="s">
        <v>66</v>
      </c>
      <c r="Q438" s="4"/>
      <c r="R438" s="4" t="s">
        <v>0</v>
      </c>
      <c r="S438" s="4"/>
    </row>
    <row r="439" spans="1:19" x14ac:dyDescent="0.2">
      <c r="A439" s="16"/>
      <c r="B439" s="4" t="s">
        <v>45</v>
      </c>
      <c r="C439" s="4" t="s">
        <v>796</v>
      </c>
      <c r="D439" s="4" t="s">
        <v>797</v>
      </c>
      <c r="E439" s="5">
        <v>44985</v>
      </c>
      <c r="F439" s="4" t="s">
        <v>282</v>
      </c>
      <c r="G439" s="4"/>
      <c r="H439" s="4"/>
      <c r="I439" s="4" t="s">
        <v>283</v>
      </c>
      <c r="J439" s="4" t="s">
        <v>452</v>
      </c>
      <c r="K439" s="6">
        <v>18</v>
      </c>
      <c r="L439" s="6"/>
      <c r="M439" s="6">
        <f t="shared" si="8"/>
        <v>16100.94</v>
      </c>
      <c r="N439" s="4" t="s">
        <v>64</v>
      </c>
      <c r="O439" s="4" t="s">
        <v>65</v>
      </c>
      <c r="P439" s="4" t="s">
        <v>66</v>
      </c>
      <c r="Q439" s="4"/>
      <c r="R439" s="4" t="s">
        <v>0</v>
      </c>
      <c r="S439" s="4"/>
    </row>
    <row r="440" spans="1:19" x14ac:dyDescent="0.2">
      <c r="A440" s="16"/>
      <c r="B440" s="4" t="s">
        <v>45</v>
      </c>
      <c r="C440" s="4" t="s">
        <v>796</v>
      </c>
      <c r="D440" s="4" t="s">
        <v>797</v>
      </c>
      <c r="E440" s="5">
        <v>44998</v>
      </c>
      <c r="F440" s="4" t="s">
        <v>310</v>
      </c>
      <c r="G440" s="4"/>
      <c r="H440" s="4"/>
      <c r="I440" s="4" t="s">
        <v>311</v>
      </c>
      <c r="J440" s="4" t="s">
        <v>311</v>
      </c>
      <c r="K440" s="6">
        <v>5068.33</v>
      </c>
      <c r="L440" s="6"/>
      <c r="M440" s="6">
        <f t="shared" si="8"/>
        <v>21169.27</v>
      </c>
      <c r="N440" s="4" t="s">
        <v>64</v>
      </c>
      <c r="O440" s="4" t="s">
        <v>65</v>
      </c>
      <c r="P440" s="4" t="s">
        <v>66</v>
      </c>
      <c r="Q440" s="4"/>
      <c r="R440" s="4" t="s">
        <v>0</v>
      </c>
      <c r="S440" s="4"/>
    </row>
    <row r="441" spans="1:19" x14ac:dyDescent="0.2">
      <c r="A441" s="16"/>
      <c r="B441" s="4" t="s">
        <v>45</v>
      </c>
      <c r="C441" s="4" t="s">
        <v>796</v>
      </c>
      <c r="D441" s="4" t="s">
        <v>797</v>
      </c>
      <c r="E441" s="5">
        <v>45009</v>
      </c>
      <c r="F441" s="4" t="s">
        <v>334</v>
      </c>
      <c r="G441" s="4"/>
      <c r="H441" s="4"/>
      <c r="I441" s="4" t="s">
        <v>335</v>
      </c>
      <c r="J441" s="4" t="s">
        <v>452</v>
      </c>
      <c r="K441" s="6">
        <v>18</v>
      </c>
      <c r="L441" s="6"/>
      <c r="M441" s="6">
        <f t="shared" si="8"/>
        <v>21187.27</v>
      </c>
      <c r="N441" s="4" t="s">
        <v>64</v>
      </c>
      <c r="O441" s="4" t="s">
        <v>65</v>
      </c>
      <c r="P441" s="4" t="s">
        <v>66</v>
      </c>
      <c r="Q441" s="4"/>
      <c r="R441" s="4" t="s">
        <v>0</v>
      </c>
      <c r="S441" s="4"/>
    </row>
    <row r="442" spans="1:19" x14ac:dyDescent="0.2">
      <c r="A442" s="16"/>
      <c r="B442" s="4" t="s">
        <v>45</v>
      </c>
      <c r="C442" s="4" t="s">
        <v>796</v>
      </c>
      <c r="D442" s="4" t="s">
        <v>797</v>
      </c>
      <c r="E442" s="5">
        <v>45016</v>
      </c>
      <c r="F442" s="4" t="s">
        <v>346</v>
      </c>
      <c r="G442" s="4"/>
      <c r="H442" s="4"/>
      <c r="I442" s="4" t="s">
        <v>347</v>
      </c>
      <c r="J442" s="4" t="s">
        <v>347</v>
      </c>
      <c r="K442" s="6"/>
      <c r="L442" s="6">
        <v>33627.5</v>
      </c>
      <c r="M442" s="6">
        <f t="shared" si="8"/>
        <v>-12440.23</v>
      </c>
      <c r="N442" s="4" t="s">
        <v>64</v>
      </c>
      <c r="O442" s="4" t="s">
        <v>92</v>
      </c>
      <c r="P442" s="4" t="s">
        <v>66</v>
      </c>
      <c r="Q442" s="4"/>
      <c r="R442" s="4" t="s">
        <v>0</v>
      </c>
      <c r="S442" s="4"/>
    </row>
    <row r="443" spans="1:19" x14ac:dyDescent="0.2">
      <c r="A443" s="16"/>
      <c r="B443" s="4" t="s">
        <v>45</v>
      </c>
      <c r="C443" s="4" t="s">
        <v>796</v>
      </c>
      <c r="D443" s="4" t="s">
        <v>797</v>
      </c>
      <c r="E443" s="5">
        <v>45040</v>
      </c>
      <c r="F443" s="4" t="s">
        <v>383</v>
      </c>
      <c r="G443" s="4"/>
      <c r="H443" s="4"/>
      <c r="I443" s="4" t="s">
        <v>384</v>
      </c>
      <c r="J443" s="4" t="s">
        <v>452</v>
      </c>
      <c r="K443" s="6">
        <v>18</v>
      </c>
      <c r="L443" s="6"/>
      <c r="M443" s="6">
        <f t="shared" si="8"/>
        <v>-12422.23</v>
      </c>
      <c r="N443" s="4" t="s">
        <v>64</v>
      </c>
      <c r="O443" s="4" t="s">
        <v>65</v>
      </c>
      <c r="P443" s="4" t="s">
        <v>66</v>
      </c>
      <c r="Q443" s="4"/>
      <c r="R443" s="4" t="s">
        <v>0</v>
      </c>
      <c r="S443" s="4"/>
    </row>
    <row r="444" spans="1:19" x14ac:dyDescent="0.2">
      <c r="A444" s="16"/>
      <c r="B444" s="4" t="s">
        <v>45</v>
      </c>
      <c r="C444" s="4" t="s">
        <v>796</v>
      </c>
      <c r="D444" s="4" t="s">
        <v>797</v>
      </c>
      <c r="E444" s="5">
        <v>45057</v>
      </c>
      <c r="F444" s="4" t="s">
        <v>400</v>
      </c>
      <c r="G444" s="4"/>
      <c r="H444" s="4"/>
      <c r="I444" s="4" t="s">
        <v>401</v>
      </c>
      <c r="J444" s="4" t="s">
        <v>401</v>
      </c>
      <c r="K444" s="6">
        <v>656</v>
      </c>
      <c r="L444" s="6"/>
      <c r="M444" s="6">
        <f t="shared" si="8"/>
        <v>-11766.23</v>
      </c>
      <c r="N444" s="4" t="s">
        <v>64</v>
      </c>
      <c r="O444" s="4" t="s">
        <v>92</v>
      </c>
      <c r="P444" s="4" t="s">
        <v>66</v>
      </c>
      <c r="Q444" s="4"/>
      <c r="R444" s="4" t="s">
        <v>0</v>
      </c>
      <c r="S444" s="4"/>
    </row>
    <row r="445" spans="1:19" x14ac:dyDescent="0.2">
      <c r="A445" s="16"/>
      <c r="B445" s="4" t="s">
        <v>45</v>
      </c>
      <c r="C445" s="4" t="s">
        <v>796</v>
      </c>
      <c r="D445" s="4" t="s">
        <v>797</v>
      </c>
      <c r="E445" s="5">
        <v>45072</v>
      </c>
      <c r="F445" s="4" t="s">
        <v>430</v>
      </c>
      <c r="G445" s="4"/>
      <c r="H445" s="4"/>
      <c r="I445" s="4" t="s">
        <v>431</v>
      </c>
      <c r="J445" s="4" t="s">
        <v>452</v>
      </c>
      <c r="K445" s="6">
        <v>18</v>
      </c>
      <c r="L445" s="6"/>
      <c r="M445" s="6">
        <f t="shared" si="8"/>
        <v>-11748.23</v>
      </c>
      <c r="N445" s="4" t="s">
        <v>64</v>
      </c>
      <c r="O445" s="4" t="s">
        <v>65</v>
      </c>
      <c r="P445" s="4" t="s">
        <v>66</v>
      </c>
      <c r="Q445" s="4"/>
      <c r="R445" s="4" t="s">
        <v>0</v>
      </c>
      <c r="S445" s="4"/>
    </row>
    <row r="446" spans="1:19" x14ac:dyDescent="0.2">
      <c r="A446" s="16"/>
      <c r="B446" s="4" t="s">
        <v>45</v>
      </c>
      <c r="C446" s="4" t="s">
        <v>796</v>
      </c>
      <c r="D446" s="4" t="s">
        <v>797</v>
      </c>
      <c r="E446" s="5">
        <v>45077</v>
      </c>
      <c r="F446" s="4" t="s">
        <v>458</v>
      </c>
      <c r="G446" s="4"/>
      <c r="H446" s="4"/>
      <c r="I446" s="4" t="s">
        <v>459</v>
      </c>
      <c r="J446" s="4" t="s">
        <v>452</v>
      </c>
      <c r="K446" s="6"/>
      <c r="L446" s="6">
        <v>18</v>
      </c>
      <c r="M446" s="6">
        <f t="shared" si="8"/>
        <v>-11766.23</v>
      </c>
      <c r="N446" s="4" t="s">
        <v>64</v>
      </c>
      <c r="O446" s="4" t="s">
        <v>65</v>
      </c>
      <c r="P446" s="4" t="s">
        <v>66</v>
      </c>
      <c r="Q446" s="4"/>
      <c r="R446" s="4" t="s">
        <v>0</v>
      </c>
      <c r="S446" s="4"/>
    </row>
    <row r="447" spans="1:19" x14ac:dyDescent="0.2">
      <c r="A447" s="16"/>
      <c r="B447" s="4" t="s">
        <v>45</v>
      </c>
      <c r="C447" s="4" t="s">
        <v>796</v>
      </c>
      <c r="D447" s="4" t="s">
        <v>797</v>
      </c>
      <c r="E447" s="5">
        <v>45077</v>
      </c>
      <c r="F447" s="4" t="s">
        <v>457</v>
      </c>
      <c r="G447" s="4"/>
      <c r="H447" s="4"/>
      <c r="I447" s="4" t="s">
        <v>431</v>
      </c>
      <c r="J447" s="4" t="s">
        <v>452</v>
      </c>
      <c r="K447" s="6">
        <v>18</v>
      </c>
      <c r="L447" s="6"/>
      <c r="M447" s="6">
        <f t="shared" si="8"/>
        <v>-11748.23</v>
      </c>
      <c r="N447" s="4" t="s">
        <v>64</v>
      </c>
      <c r="O447" s="4" t="s">
        <v>65</v>
      </c>
      <c r="P447" s="4" t="s">
        <v>66</v>
      </c>
      <c r="Q447" s="4"/>
      <c r="R447" s="4" t="s">
        <v>0</v>
      </c>
      <c r="S447" s="4"/>
    </row>
    <row r="448" spans="1:19" x14ac:dyDescent="0.2">
      <c r="A448" s="16"/>
      <c r="B448" s="4" t="s">
        <v>45</v>
      </c>
      <c r="C448" s="4" t="s">
        <v>796</v>
      </c>
      <c r="D448" s="4" t="s">
        <v>797</v>
      </c>
      <c r="E448" s="5">
        <v>45103</v>
      </c>
      <c r="F448" s="4" t="s">
        <v>480</v>
      </c>
      <c r="G448" s="4"/>
      <c r="H448" s="4"/>
      <c r="I448" s="4" t="s">
        <v>481</v>
      </c>
      <c r="J448" s="4" t="s">
        <v>452</v>
      </c>
      <c r="K448" s="6">
        <v>21</v>
      </c>
      <c r="L448" s="6"/>
      <c r="M448" s="6">
        <f t="shared" si="8"/>
        <v>-11727.23</v>
      </c>
      <c r="N448" s="4" t="s">
        <v>64</v>
      </c>
      <c r="O448" s="4" t="s">
        <v>65</v>
      </c>
      <c r="P448" s="4" t="s">
        <v>66</v>
      </c>
      <c r="Q448" s="4"/>
      <c r="R448" s="4" t="s">
        <v>0</v>
      </c>
      <c r="S448" s="4"/>
    </row>
    <row r="449" spans="1:19" x14ac:dyDescent="0.2">
      <c r="A449" s="16"/>
      <c r="B449" s="4" t="s">
        <v>45</v>
      </c>
      <c r="C449" s="4" t="s">
        <v>796</v>
      </c>
      <c r="D449" s="4" t="s">
        <v>797</v>
      </c>
      <c r="E449" s="5">
        <v>45135</v>
      </c>
      <c r="F449" s="4" t="s">
        <v>527</v>
      </c>
      <c r="G449" s="4"/>
      <c r="H449" s="4"/>
      <c r="I449" s="4" t="s">
        <v>528</v>
      </c>
      <c r="J449" s="4" t="s">
        <v>452</v>
      </c>
      <c r="K449" s="6">
        <v>18</v>
      </c>
      <c r="L449" s="6"/>
      <c r="M449" s="6">
        <f t="shared" si="8"/>
        <v>-11709.23</v>
      </c>
      <c r="N449" s="4" t="s">
        <v>64</v>
      </c>
      <c r="O449" s="4" t="s">
        <v>65</v>
      </c>
      <c r="P449" s="4" t="s">
        <v>66</v>
      </c>
      <c r="Q449" s="4"/>
      <c r="R449" s="4" t="s">
        <v>0</v>
      </c>
      <c r="S449" s="4"/>
    </row>
    <row r="450" spans="1:19" x14ac:dyDescent="0.2">
      <c r="A450" s="16"/>
      <c r="B450" s="4" t="s">
        <v>45</v>
      </c>
      <c r="C450" s="4" t="s">
        <v>796</v>
      </c>
      <c r="D450" s="4" t="s">
        <v>797</v>
      </c>
      <c r="E450" s="5">
        <v>45162</v>
      </c>
      <c r="F450" s="4" t="s">
        <v>552</v>
      </c>
      <c r="G450" s="4"/>
      <c r="H450" s="4"/>
      <c r="I450" s="4" t="s">
        <v>553</v>
      </c>
      <c r="J450" s="4" t="s">
        <v>452</v>
      </c>
      <c r="K450" s="6">
        <v>18</v>
      </c>
      <c r="L450" s="6"/>
      <c r="M450" s="6">
        <f t="shared" si="8"/>
        <v>-11691.23</v>
      </c>
      <c r="N450" s="4" t="s">
        <v>64</v>
      </c>
      <c r="O450" s="4" t="s">
        <v>65</v>
      </c>
      <c r="P450" s="4" t="s">
        <v>66</v>
      </c>
      <c r="Q450" s="4"/>
      <c r="R450" s="4" t="s">
        <v>0</v>
      </c>
      <c r="S450" s="4"/>
    </row>
    <row r="451" spans="1:19" x14ac:dyDescent="0.2">
      <c r="A451" s="16"/>
      <c r="B451" s="4" t="s">
        <v>45</v>
      </c>
      <c r="C451" s="4" t="s">
        <v>796</v>
      </c>
      <c r="D451" s="4" t="s">
        <v>797</v>
      </c>
      <c r="E451" s="5">
        <v>45182</v>
      </c>
      <c r="F451" s="4" t="s">
        <v>600</v>
      </c>
      <c r="G451" s="4"/>
      <c r="H451" s="4"/>
      <c r="I451" s="4" t="s">
        <v>601</v>
      </c>
      <c r="J451" s="4" t="s">
        <v>601</v>
      </c>
      <c r="K451" s="6">
        <v>5068.33</v>
      </c>
      <c r="L451" s="6"/>
      <c r="M451" s="6">
        <f t="shared" si="8"/>
        <v>-6622.9</v>
      </c>
      <c r="N451" s="4" t="s">
        <v>64</v>
      </c>
      <c r="O451" s="4" t="s">
        <v>65</v>
      </c>
      <c r="P451" s="4" t="s">
        <v>66</v>
      </c>
      <c r="Q451" s="4"/>
      <c r="R451" s="4" t="s">
        <v>0</v>
      </c>
      <c r="S451" s="4"/>
    </row>
    <row r="452" spans="1:19" x14ac:dyDescent="0.2">
      <c r="A452" s="16"/>
      <c r="B452" s="4" t="s">
        <v>45</v>
      </c>
      <c r="C452" s="4" t="s">
        <v>796</v>
      </c>
      <c r="D452" s="4" t="s">
        <v>797</v>
      </c>
      <c r="E452" s="5">
        <v>45195</v>
      </c>
      <c r="F452" s="4" t="s">
        <v>613</v>
      </c>
      <c r="G452" s="4"/>
      <c r="H452" s="4"/>
      <c r="I452" s="4" t="s">
        <v>614</v>
      </c>
      <c r="J452" s="4" t="s">
        <v>452</v>
      </c>
      <c r="K452" s="6">
        <v>18</v>
      </c>
      <c r="L452" s="6"/>
      <c r="M452" s="6">
        <f t="shared" si="8"/>
        <v>-6604.9</v>
      </c>
      <c r="N452" s="4" t="s">
        <v>64</v>
      </c>
      <c r="O452" s="4" t="s">
        <v>65</v>
      </c>
      <c r="P452" s="4" t="s">
        <v>66</v>
      </c>
      <c r="Q452" s="4"/>
      <c r="R452" s="4" t="s">
        <v>0</v>
      </c>
      <c r="S452" s="4"/>
    </row>
    <row r="453" spans="1:19" x14ac:dyDescent="0.2">
      <c r="A453" s="16"/>
      <c r="B453" s="4" t="s">
        <v>45</v>
      </c>
      <c r="C453" s="4" t="s">
        <v>796</v>
      </c>
      <c r="D453" s="4" t="s">
        <v>797</v>
      </c>
      <c r="E453" s="5">
        <v>45226</v>
      </c>
      <c r="F453" s="4" t="s">
        <v>680</v>
      </c>
      <c r="G453" s="4"/>
      <c r="H453" s="4"/>
      <c r="I453" s="4" t="s">
        <v>681</v>
      </c>
      <c r="J453" s="4" t="s">
        <v>452</v>
      </c>
      <c r="K453" s="6">
        <v>18</v>
      </c>
      <c r="L453" s="6"/>
      <c r="M453" s="6">
        <f t="shared" si="8"/>
        <v>-6586.9</v>
      </c>
      <c r="N453" s="4" t="s">
        <v>64</v>
      </c>
      <c r="O453" s="4" t="s">
        <v>65</v>
      </c>
      <c r="P453" s="4" t="s">
        <v>66</v>
      </c>
      <c r="Q453" s="4"/>
      <c r="R453" s="4" t="s">
        <v>0</v>
      </c>
      <c r="S453" s="4"/>
    </row>
    <row r="454" spans="1:19" x14ac:dyDescent="0.2">
      <c r="A454" s="16"/>
      <c r="B454" s="4" t="s">
        <v>45</v>
      </c>
      <c r="C454" s="4" t="s">
        <v>796</v>
      </c>
      <c r="D454" s="4" t="s">
        <v>797</v>
      </c>
      <c r="E454" s="5">
        <v>45257</v>
      </c>
      <c r="F454" s="4" t="s">
        <v>713</v>
      </c>
      <c r="G454" s="4"/>
      <c r="H454" s="4"/>
      <c r="I454" s="4" t="s">
        <v>714</v>
      </c>
      <c r="J454" s="4" t="s">
        <v>452</v>
      </c>
      <c r="K454" s="6">
        <v>21</v>
      </c>
      <c r="L454" s="6"/>
      <c r="M454" s="6">
        <f t="shared" si="8"/>
        <v>-6565.9</v>
      </c>
      <c r="N454" s="4" t="s">
        <v>64</v>
      </c>
      <c r="O454" s="4" t="s">
        <v>65</v>
      </c>
      <c r="P454" s="4" t="s">
        <v>66</v>
      </c>
      <c r="Q454" s="4"/>
      <c r="R454" s="4" t="s">
        <v>0</v>
      </c>
      <c r="S454" s="4"/>
    </row>
    <row r="455" spans="1:19" x14ac:dyDescent="0.2">
      <c r="A455" s="15" t="s">
        <v>804</v>
      </c>
      <c r="B455" s="11"/>
      <c r="C455" s="11"/>
      <c r="D455" s="11"/>
      <c r="E455" s="12"/>
      <c r="F455" s="11"/>
      <c r="G455" s="11"/>
      <c r="H455" s="11"/>
      <c r="I455" s="11"/>
      <c r="J455" s="11"/>
      <c r="K455" s="13">
        <f>SUM(K431:K454)</f>
        <v>69286.47</v>
      </c>
      <c r="L455" s="13">
        <f>SUM(L431:L454)</f>
        <v>33645.5</v>
      </c>
      <c r="M455" s="13">
        <f>M454</f>
        <v>-6565.9</v>
      </c>
      <c r="N455" s="11"/>
      <c r="O455" s="11"/>
      <c r="P455" s="11"/>
      <c r="Q455" s="11"/>
      <c r="R455" s="11"/>
      <c r="S455" s="11"/>
    </row>
    <row r="456" spans="1:19" x14ac:dyDescent="0.2">
      <c r="A456" s="11" t="s">
        <v>805</v>
      </c>
      <c r="B456" s="11"/>
      <c r="C456" s="11"/>
      <c r="D456" s="11"/>
      <c r="E456" s="12"/>
      <c r="F456" s="11"/>
      <c r="G456" s="11"/>
      <c r="H456" s="11"/>
      <c r="I456" s="11"/>
      <c r="J456" s="11"/>
      <c r="K456" s="13">
        <f>SUM(K430,K455)</f>
        <v>69286.47</v>
      </c>
      <c r="L456" s="13">
        <f>SUM(L430,L455)</f>
        <v>33645.5</v>
      </c>
      <c r="M456" s="13">
        <f>M430+M455</f>
        <v>-6565.9</v>
      </c>
      <c r="N456" s="11"/>
      <c r="O456" s="11"/>
      <c r="P456" s="11"/>
      <c r="Q456" s="11"/>
      <c r="R456" s="11"/>
      <c r="S456" s="11"/>
    </row>
    <row r="458" spans="1:19" x14ac:dyDescent="0.2">
      <c r="A458" s="3" t="s">
        <v>806</v>
      </c>
      <c r="B458" s="4"/>
      <c r="C458" s="4"/>
      <c r="D458" s="4"/>
      <c r="E458" s="5"/>
      <c r="F458" s="4"/>
      <c r="G458" s="4"/>
      <c r="H458" s="4"/>
      <c r="I458" s="4"/>
      <c r="J458" s="4"/>
      <c r="K458" s="6"/>
      <c r="L458" s="6"/>
      <c r="M458" s="6">
        <v>0</v>
      </c>
      <c r="N458" s="4"/>
      <c r="O458" s="4"/>
      <c r="P458" s="4"/>
      <c r="Q458" s="4"/>
      <c r="R458" s="4"/>
      <c r="S458" s="4"/>
    </row>
    <row r="459" spans="1:19" x14ac:dyDescent="0.2">
      <c r="A459" s="18"/>
      <c r="B459" s="4" t="s">
        <v>45</v>
      </c>
      <c r="C459" s="4" t="s">
        <v>807</v>
      </c>
      <c r="D459" s="4" t="s">
        <v>808</v>
      </c>
      <c r="E459" s="5">
        <v>45020</v>
      </c>
      <c r="F459" s="4" t="s">
        <v>356</v>
      </c>
      <c r="G459" s="4"/>
      <c r="H459" s="4" t="s">
        <v>809</v>
      </c>
      <c r="I459" s="4" t="s">
        <v>357</v>
      </c>
      <c r="J459" s="4" t="s">
        <v>357</v>
      </c>
      <c r="K459" s="6"/>
      <c r="L459" s="6">
        <v>1050</v>
      </c>
      <c r="M459" s="6">
        <f>M458+K459-L459</f>
        <v>-1050</v>
      </c>
      <c r="N459" s="4" t="s">
        <v>64</v>
      </c>
      <c r="O459" s="4" t="s">
        <v>92</v>
      </c>
      <c r="P459" s="4" t="s">
        <v>66</v>
      </c>
      <c r="Q459" s="4"/>
      <c r="R459" s="4" t="s">
        <v>0</v>
      </c>
      <c r="S459" s="4"/>
    </row>
    <row r="460" spans="1:19" x14ac:dyDescent="0.2">
      <c r="A460" s="11" t="s">
        <v>810</v>
      </c>
      <c r="B460" s="11"/>
      <c r="C460" s="11"/>
      <c r="D460" s="11"/>
      <c r="E460" s="12"/>
      <c r="F460" s="11"/>
      <c r="G460" s="11"/>
      <c r="H460" s="11"/>
      <c r="I460" s="11"/>
      <c r="J460" s="11"/>
      <c r="K460" s="13">
        <f>SUM(K458:K459)</f>
        <v>0</v>
      </c>
      <c r="L460" s="13">
        <f>SUM(L458:L459)</f>
        <v>1050</v>
      </c>
      <c r="M460" s="13">
        <f>M459</f>
        <v>-1050</v>
      </c>
      <c r="N460" s="11"/>
      <c r="O460" s="11"/>
      <c r="P460" s="11"/>
      <c r="Q460" s="11"/>
      <c r="R460" s="11"/>
      <c r="S460" s="11"/>
    </row>
  </sheetData>
  <mergeCells count="6">
    <mergeCell ref="A6:R6"/>
    <mergeCell ref="A1:R1"/>
    <mergeCell ref="A2:R2"/>
    <mergeCell ref="A3:R3"/>
    <mergeCell ref="A4:R4"/>
    <mergeCell ref="A5:R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B74A1-4A25-404A-8A7F-2A11BBFBA6A1}">
  <dimension ref="A1:V35"/>
  <sheetViews>
    <sheetView workbookViewId="0">
      <selection activeCell="E31" sqref="E31"/>
    </sheetView>
  </sheetViews>
  <sheetFormatPr defaultRowHeight="11.25" x14ac:dyDescent="0.2"/>
  <cols>
    <col min="3" max="3" width="30.1640625" style="37" bestFit="1" customWidth="1"/>
    <col min="4" max="4" width="30.6640625" style="37" customWidth="1"/>
    <col min="5" max="5" width="26.6640625" style="37" customWidth="1"/>
    <col min="6" max="6" width="43.6640625" style="37" customWidth="1"/>
    <col min="7" max="7" width="17.1640625" customWidth="1"/>
    <col min="8" max="9" width="15.33203125" bestFit="1" customWidth="1"/>
    <col min="10" max="10" width="8.6640625" bestFit="1" customWidth="1"/>
    <col min="11" max="11" width="46.6640625" bestFit="1" customWidth="1"/>
    <col min="12" max="12" width="48.1640625" bestFit="1" customWidth="1"/>
    <col min="13" max="14" width="4.6640625" bestFit="1" customWidth="1"/>
    <col min="15" max="15" width="18.83203125" bestFit="1" customWidth="1"/>
    <col min="16" max="16" width="16.6640625" bestFit="1" customWidth="1"/>
    <col min="17" max="17" width="10.1640625" bestFit="1" customWidth="1"/>
  </cols>
  <sheetData>
    <row r="1" spans="1:7" s="23" customFormat="1" ht="30" x14ac:dyDescent="0.25">
      <c r="A1" s="21"/>
      <c r="B1" s="21" t="s">
        <v>811</v>
      </c>
      <c r="C1" s="22" t="s">
        <v>5</v>
      </c>
      <c r="D1" s="22" t="s">
        <v>812</v>
      </c>
      <c r="E1" s="22" t="s">
        <v>813</v>
      </c>
      <c r="F1" s="22" t="s">
        <v>814</v>
      </c>
      <c r="G1" s="21" t="s">
        <v>815</v>
      </c>
    </row>
    <row r="2" spans="1:7" ht="15.75" x14ac:dyDescent="0.2">
      <c r="A2" s="24" t="s">
        <v>816</v>
      </c>
      <c r="B2" s="25"/>
      <c r="C2" s="26"/>
      <c r="D2" s="26"/>
      <c r="E2" s="26"/>
      <c r="F2" s="26"/>
      <c r="G2" s="25"/>
    </row>
    <row r="3" spans="1:7" ht="12" x14ac:dyDescent="0.2">
      <c r="A3" s="27"/>
      <c r="B3" t="s">
        <v>821</v>
      </c>
      <c r="C3" s="26"/>
      <c r="D3" s="26"/>
      <c r="E3" s="26"/>
      <c r="F3" s="26"/>
      <c r="G3" s="25"/>
    </row>
    <row r="4" spans="1:7" x14ac:dyDescent="0.2">
      <c r="A4" s="25"/>
      <c r="B4" s="25"/>
      <c r="C4" s="26"/>
      <c r="D4" s="26"/>
      <c r="E4" s="26"/>
      <c r="F4" s="26"/>
      <c r="G4" s="25"/>
    </row>
    <row r="5" spans="1:7" ht="15.75" x14ac:dyDescent="0.2">
      <c r="A5" s="29" t="s">
        <v>819</v>
      </c>
      <c r="B5" s="29"/>
      <c r="C5" s="26"/>
      <c r="D5" s="26"/>
      <c r="E5" s="26"/>
      <c r="F5" s="26"/>
      <c r="G5" s="25"/>
    </row>
    <row r="6" spans="1:7" ht="15" x14ac:dyDescent="0.2">
      <c r="A6" s="30" t="s">
        <v>817</v>
      </c>
      <c r="B6" s="28" t="s">
        <v>818</v>
      </c>
      <c r="C6" s="26" t="s">
        <v>2</v>
      </c>
      <c r="D6" s="41" t="s">
        <v>22</v>
      </c>
      <c r="E6" s="41" t="s">
        <v>38</v>
      </c>
      <c r="F6" s="41" t="s">
        <v>57</v>
      </c>
    </row>
    <row r="7" spans="1:7" ht="15" x14ac:dyDescent="0.2">
      <c r="A7" s="30" t="s">
        <v>820</v>
      </c>
      <c r="B7" s="31" t="s">
        <v>821</v>
      </c>
      <c r="C7" s="26" t="s">
        <v>3</v>
      </c>
      <c r="D7" s="4" t="s">
        <v>45</v>
      </c>
      <c r="E7" s="4" t="s">
        <v>45</v>
      </c>
      <c r="F7" s="4" t="s">
        <v>45</v>
      </c>
      <c r="G7" s="28" t="s">
        <v>818</v>
      </c>
    </row>
    <row r="8" spans="1:7" ht="15" x14ac:dyDescent="0.2">
      <c r="A8" s="30" t="s">
        <v>822</v>
      </c>
      <c r="B8" s="31" t="s">
        <v>821</v>
      </c>
      <c r="C8" s="26" t="s">
        <v>4</v>
      </c>
      <c r="D8" s="4" t="s">
        <v>46</v>
      </c>
      <c r="E8" s="4">
        <v>958</v>
      </c>
      <c r="F8" s="4" t="s">
        <v>58</v>
      </c>
      <c r="G8" s="28" t="s">
        <v>818</v>
      </c>
    </row>
    <row r="9" spans="1:7" ht="15" x14ac:dyDescent="0.2">
      <c r="A9" s="30" t="s">
        <v>823</v>
      </c>
      <c r="B9" s="31" t="s">
        <v>821</v>
      </c>
      <c r="C9" s="26" t="s">
        <v>5</v>
      </c>
      <c r="D9" s="4" t="s">
        <v>47</v>
      </c>
      <c r="E9" s="33"/>
      <c r="F9" s="4" t="s">
        <v>59</v>
      </c>
      <c r="G9" s="28" t="s">
        <v>818</v>
      </c>
    </row>
    <row r="10" spans="1:7" ht="15" x14ac:dyDescent="0.2">
      <c r="A10" s="30" t="s">
        <v>824</v>
      </c>
      <c r="B10" s="31" t="s">
        <v>821</v>
      </c>
      <c r="C10" s="26" t="s">
        <v>6</v>
      </c>
      <c r="D10" s="5">
        <v>45291</v>
      </c>
      <c r="E10" s="5">
        <v>45291</v>
      </c>
      <c r="F10" s="5">
        <v>44955</v>
      </c>
      <c r="G10" s="28" t="s">
        <v>818</v>
      </c>
    </row>
    <row r="11" spans="1:7" ht="15" x14ac:dyDescent="0.2">
      <c r="A11" s="30" t="s">
        <v>825</v>
      </c>
      <c r="B11" s="31" t="s">
        <v>821</v>
      </c>
      <c r="C11" s="26" t="s">
        <v>7</v>
      </c>
      <c r="D11" s="4" t="s">
        <v>48</v>
      </c>
      <c r="E11" s="4" t="s">
        <v>48</v>
      </c>
      <c r="F11" s="4" t="s">
        <v>60</v>
      </c>
      <c r="G11" s="25"/>
    </row>
    <row r="12" spans="1:7" ht="15" x14ac:dyDescent="0.2">
      <c r="A12" s="30" t="s">
        <v>826</v>
      </c>
      <c r="B12" s="31" t="s">
        <v>821</v>
      </c>
      <c r="C12" s="26" t="s">
        <v>5</v>
      </c>
      <c r="D12" s="34"/>
      <c r="E12" s="35"/>
      <c r="F12" s="35"/>
    </row>
    <row r="13" spans="1:7" ht="15" x14ac:dyDescent="0.2">
      <c r="A13" s="30" t="s">
        <v>827</v>
      </c>
      <c r="B13" s="31" t="s">
        <v>821</v>
      </c>
      <c r="C13" s="26" t="s">
        <v>8</v>
      </c>
      <c r="D13" s="34"/>
      <c r="E13" s="35"/>
      <c r="F13" s="35"/>
    </row>
    <row r="14" spans="1:7" ht="15" x14ac:dyDescent="0.2">
      <c r="A14" s="30" t="s">
        <v>828</v>
      </c>
      <c r="B14" s="31" t="s">
        <v>821</v>
      </c>
      <c r="C14" s="26" t="s">
        <v>9</v>
      </c>
      <c r="D14" s="4" t="s">
        <v>49</v>
      </c>
      <c r="E14" s="4" t="s">
        <v>49</v>
      </c>
      <c r="F14" s="36"/>
    </row>
    <row r="15" spans="1:7" ht="15" x14ac:dyDescent="0.2">
      <c r="A15" s="30" t="s">
        <v>829</v>
      </c>
      <c r="B15" s="31" t="s">
        <v>821</v>
      </c>
      <c r="C15" s="26" t="s">
        <v>10</v>
      </c>
      <c r="D15" s="4" t="s">
        <v>49</v>
      </c>
      <c r="E15" s="4" t="s">
        <v>49</v>
      </c>
      <c r="F15" s="33"/>
    </row>
    <row r="16" spans="1:7" ht="15" x14ac:dyDescent="0.2">
      <c r="A16" s="39" t="s">
        <v>830</v>
      </c>
      <c r="B16" s="31" t="s">
        <v>821</v>
      </c>
      <c r="C16" s="26" t="s">
        <v>11</v>
      </c>
    </row>
    <row r="17" spans="1:13" ht="15" x14ac:dyDescent="0.2">
      <c r="A17" s="39" t="s">
        <v>831</v>
      </c>
      <c r="B17" s="31" t="s">
        <v>821</v>
      </c>
      <c r="C17" s="26" t="s">
        <v>12</v>
      </c>
      <c r="D17" s="6">
        <v>-27269</v>
      </c>
      <c r="E17" s="6">
        <v>-2168</v>
      </c>
      <c r="F17" s="6">
        <v>7624.58</v>
      </c>
    </row>
    <row r="18" spans="1:13" ht="15" x14ac:dyDescent="0.2">
      <c r="A18" s="39" t="s">
        <v>832</v>
      </c>
      <c r="B18" s="31" t="s">
        <v>821</v>
      </c>
      <c r="C18" s="26" t="s">
        <v>13</v>
      </c>
      <c r="D18">
        <v>-133269</v>
      </c>
      <c r="E18">
        <v>206593</v>
      </c>
      <c r="F18">
        <v>0</v>
      </c>
    </row>
    <row r="19" spans="1:13" ht="15" x14ac:dyDescent="0.2">
      <c r="A19" s="39" t="s">
        <v>833</v>
      </c>
      <c r="B19" s="31" t="s">
        <v>821</v>
      </c>
      <c r="C19" s="26" t="s">
        <v>14</v>
      </c>
    </row>
    <row r="20" spans="1:13" ht="15" x14ac:dyDescent="0.2">
      <c r="A20" s="39" t="s">
        <v>834</v>
      </c>
      <c r="B20" s="31" t="s">
        <v>821</v>
      </c>
      <c r="C20" s="26" t="s">
        <v>15</v>
      </c>
    </row>
    <row r="21" spans="1:13" ht="15" x14ac:dyDescent="0.2">
      <c r="A21" s="39" t="s">
        <v>835</v>
      </c>
      <c r="B21" s="31" t="s">
        <v>821</v>
      </c>
      <c r="C21" s="26" t="s">
        <v>16</v>
      </c>
    </row>
    <row r="22" spans="1:13" ht="15" x14ac:dyDescent="0.2">
      <c r="A22" s="39" t="s">
        <v>836</v>
      </c>
      <c r="B22" s="31" t="s">
        <v>821</v>
      </c>
      <c r="C22" s="26" t="s">
        <v>17</v>
      </c>
    </row>
    <row r="23" spans="1:13" ht="15" x14ac:dyDescent="0.2">
      <c r="A23" s="39" t="s">
        <v>837</v>
      </c>
      <c r="B23" s="31" t="s">
        <v>821</v>
      </c>
      <c r="C23" s="26" t="s">
        <v>18</v>
      </c>
    </row>
    <row r="25" spans="1:13" x14ac:dyDescent="0.2">
      <c r="G25" s="38"/>
    </row>
    <row r="26" spans="1:13" x14ac:dyDescent="0.2">
      <c r="M26" s="38"/>
    </row>
    <row r="27" spans="1:13" x14ac:dyDescent="0.2">
      <c r="M27" s="38"/>
    </row>
    <row r="29" spans="1:13" x14ac:dyDescent="0.2">
      <c r="C29" s="32"/>
      <c r="D29" s="33"/>
      <c r="E29" s="33"/>
      <c r="F29" s="33"/>
      <c r="G29" s="35"/>
      <c r="H29" s="35"/>
      <c r="I29" s="35"/>
      <c r="J29" s="35"/>
      <c r="K29" s="36"/>
      <c r="L29" s="33"/>
    </row>
    <row r="33" spans="7:22" x14ac:dyDescent="0.2">
      <c r="J33" s="4"/>
      <c r="K33" s="4"/>
      <c r="N33" s="6"/>
      <c r="P33" s="6"/>
      <c r="Q33" s="4"/>
      <c r="R33" s="4"/>
      <c r="S33" s="4"/>
      <c r="T33" s="4"/>
      <c r="U33" s="4"/>
    </row>
    <row r="34" spans="7:22" x14ac:dyDescent="0.2">
      <c r="G34" s="4"/>
      <c r="J34" s="4"/>
      <c r="K34" s="4"/>
      <c r="N34" s="6"/>
      <c r="P34" s="6"/>
      <c r="Q34" s="4"/>
      <c r="R34" s="4"/>
      <c r="S34" s="4"/>
      <c r="T34" s="4"/>
      <c r="U34" s="4"/>
    </row>
    <row r="35" spans="7:22" x14ac:dyDescent="0.2">
      <c r="J35" s="4"/>
      <c r="K35" s="4"/>
      <c r="L35" s="4"/>
      <c r="M35" s="4"/>
      <c r="N35" s="6"/>
      <c r="P35" s="6"/>
      <c r="Q35" s="4"/>
      <c r="R35" s="4"/>
      <c r="S35" s="4"/>
      <c r="T35" s="4"/>
      <c r="U35" s="4"/>
      <c r="V35" s="4"/>
    </row>
  </sheetData>
  <mergeCells count="1">
    <mergeCell ref="A5:B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D1F80-1805-442C-8373-A6DD8A89DB35}">
  <dimension ref="A1:S74"/>
  <sheetViews>
    <sheetView workbookViewId="0">
      <selection activeCell="E36" sqref="E36"/>
    </sheetView>
  </sheetViews>
  <sheetFormatPr defaultRowHeight="11.25" x14ac:dyDescent="0.2"/>
  <cols>
    <col min="1" max="1" width="57.1640625" customWidth="1"/>
    <col min="5" max="5" width="11.5" customWidth="1"/>
    <col min="6" max="6" width="15.6640625" customWidth="1"/>
    <col min="7" max="7" width="13.5" customWidth="1"/>
    <col min="9" max="9" width="17.5" customWidth="1"/>
    <col min="10" max="10" width="20.6640625" customWidth="1"/>
    <col min="11" max="11" width="19.33203125" customWidth="1"/>
    <col min="12" max="12" width="14.33203125" customWidth="1"/>
    <col min="13" max="13" width="18.5" customWidth="1"/>
  </cols>
  <sheetData>
    <row r="1" spans="1:19" ht="15" x14ac:dyDescent="0.25">
      <c r="A1" s="40" t="s">
        <v>2</v>
      </c>
      <c r="B1" s="40" t="s">
        <v>3</v>
      </c>
      <c r="C1" s="40" t="s">
        <v>4</v>
      </c>
      <c r="D1" s="40" t="s">
        <v>5</v>
      </c>
      <c r="E1" s="40" t="s">
        <v>6</v>
      </c>
      <c r="F1" s="40" t="s">
        <v>7</v>
      </c>
      <c r="G1" s="40" t="s">
        <v>5</v>
      </c>
      <c r="H1" s="40" t="s">
        <v>8</v>
      </c>
      <c r="I1" s="40" t="s">
        <v>9</v>
      </c>
      <c r="J1" s="40" t="s">
        <v>10</v>
      </c>
      <c r="K1" s="40" t="s">
        <v>11</v>
      </c>
      <c r="L1" s="40" t="s">
        <v>12</v>
      </c>
      <c r="M1" s="40" t="s">
        <v>13</v>
      </c>
      <c r="N1" s="40" t="s">
        <v>14</v>
      </c>
      <c r="O1" s="40" t="s">
        <v>15</v>
      </c>
      <c r="P1" s="40" t="s">
        <v>16</v>
      </c>
      <c r="Q1" s="40" t="s">
        <v>17</v>
      </c>
      <c r="R1" s="40" t="s">
        <v>18</v>
      </c>
      <c r="S1" s="40"/>
    </row>
    <row r="2" spans="1:19" x14ac:dyDescent="0.2">
      <c r="A2" t="s">
        <v>22</v>
      </c>
      <c r="B2" t="s">
        <v>45</v>
      </c>
      <c r="C2" t="s">
        <v>46</v>
      </c>
      <c r="D2" t="s">
        <v>47</v>
      </c>
      <c r="E2">
        <v>45291</v>
      </c>
      <c r="F2" t="s">
        <v>48</v>
      </c>
      <c r="I2" t="s">
        <v>49</v>
      </c>
      <c r="J2" t="s">
        <v>49</v>
      </c>
      <c r="L2">
        <v>-27269</v>
      </c>
      <c r="M2">
        <v>-133269</v>
      </c>
    </row>
    <row r="3" spans="1:19" x14ac:dyDescent="0.2">
      <c r="A3" t="s">
        <v>38</v>
      </c>
      <c r="B3" t="s">
        <v>45</v>
      </c>
      <c r="C3">
        <v>958</v>
      </c>
      <c r="E3">
        <v>45291</v>
      </c>
      <c r="F3" t="s">
        <v>48</v>
      </c>
      <c r="I3" t="s">
        <v>49</v>
      </c>
      <c r="J3" t="s">
        <v>49</v>
      </c>
      <c r="L3">
        <v>-2168</v>
      </c>
      <c r="M3">
        <v>206593</v>
      </c>
    </row>
    <row r="4" spans="1:19" x14ac:dyDescent="0.2">
      <c r="A4" t="s">
        <v>57</v>
      </c>
      <c r="B4" t="s">
        <v>45</v>
      </c>
      <c r="C4" t="s">
        <v>58</v>
      </c>
      <c r="D4" t="s">
        <v>59</v>
      </c>
      <c r="E4">
        <v>44955</v>
      </c>
      <c r="F4" t="s">
        <v>60</v>
      </c>
      <c r="L4">
        <v>7624.58</v>
      </c>
      <c r="M4">
        <v>0</v>
      </c>
    </row>
    <row r="5" spans="1:19" x14ac:dyDescent="0.2">
      <c r="A5" t="s">
        <v>57</v>
      </c>
      <c r="B5" t="s">
        <v>45</v>
      </c>
      <c r="C5" t="s">
        <v>58</v>
      </c>
      <c r="D5" t="s">
        <v>59</v>
      </c>
      <c r="E5">
        <v>45167</v>
      </c>
      <c r="F5" t="s">
        <v>61</v>
      </c>
      <c r="I5" t="s">
        <v>62</v>
      </c>
      <c r="J5" t="s">
        <v>63</v>
      </c>
      <c r="K5">
        <v>2583.15</v>
      </c>
      <c r="M5">
        <v>2583.15</v>
      </c>
      <c r="N5" t="s">
        <v>64</v>
      </c>
      <c r="O5" t="s">
        <v>65</v>
      </c>
      <c r="P5" t="s">
        <v>66</v>
      </c>
      <c r="R5" t="s">
        <v>0</v>
      </c>
    </row>
    <row r="6" spans="1:19" x14ac:dyDescent="0.2">
      <c r="A6" t="s">
        <v>57</v>
      </c>
      <c r="B6" t="s">
        <v>45</v>
      </c>
      <c r="C6" t="s">
        <v>58</v>
      </c>
      <c r="D6" t="s">
        <v>59</v>
      </c>
      <c r="E6">
        <v>45223</v>
      </c>
      <c r="F6" t="s">
        <v>67</v>
      </c>
      <c r="I6" t="s">
        <v>68</v>
      </c>
      <c r="J6" t="s">
        <v>68</v>
      </c>
      <c r="K6">
        <v>2729.13</v>
      </c>
      <c r="M6">
        <v>5312.2800000000007</v>
      </c>
      <c r="N6" t="s">
        <v>64</v>
      </c>
      <c r="O6" t="s">
        <v>65</v>
      </c>
      <c r="P6" t="s">
        <v>66</v>
      </c>
      <c r="R6" t="s">
        <v>0</v>
      </c>
    </row>
    <row r="7" spans="1:19" x14ac:dyDescent="0.2">
      <c r="A7" t="s">
        <v>57</v>
      </c>
      <c r="B7" t="s">
        <v>45</v>
      </c>
      <c r="C7" t="s">
        <v>58</v>
      </c>
      <c r="D7" t="s">
        <v>59</v>
      </c>
      <c r="E7">
        <v>45224</v>
      </c>
      <c r="F7" t="s">
        <v>69</v>
      </c>
      <c r="I7" t="s">
        <v>70</v>
      </c>
      <c r="J7" t="s">
        <v>71</v>
      </c>
      <c r="K7">
        <v>2940.83</v>
      </c>
      <c r="M7">
        <v>8253.11</v>
      </c>
      <c r="N7" t="s">
        <v>64</v>
      </c>
      <c r="O7" t="s">
        <v>65</v>
      </c>
      <c r="P7" t="s">
        <v>66</v>
      </c>
      <c r="R7" t="s">
        <v>0</v>
      </c>
    </row>
    <row r="8" spans="1:19" x14ac:dyDescent="0.2">
      <c r="A8" t="s">
        <v>57</v>
      </c>
      <c r="B8" t="s">
        <v>45</v>
      </c>
      <c r="C8" t="s">
        <v>58</v>
      </c>
      <c r="D8" t="s">
        <v>59</v>
      </c>
      <c r="E8">
        <v>45251</v>
      </c>
      <c r="F8" t="s">
        <v>72</v>
      </c>
      <c r="I8" t="s">
        <v>73</v>
      </c>
      <c r="J8" t="s">
        <v>73</v>
      </c>
      <c r="K8">
        <v>15129.06</v>
      </c>
      <c r="M8">
        <v>23382.17</v>
      </c>
      <c r="N8" t="s">
        <v>64</v>
      </c>
      <c r="O8" t="s">
        <v>65</v>
      </c>
      <c r="P8" t="s">
        <v>66</v>
      </c>
      <c r="R8" t="s">
        <v>0</v>
      </c>
    </row>
    <row r="9" spans="1:19" x14ac:dyDescent="0.2">
      <c r="A9" t="s">
        <v>77</v>
      </c>
      <c r="B9" t="s">
        <v>45</v>
      </c>
      <c r="C9" t="s">
        <v>78</v>
      </c>
      <c r="D9" t="s">
        <v>79</v>
      </c>
      <c r="E9">
        <v>44957</v>
      </c>
      <c r="F9" t="s">
        <v>80</v>
      </c>
      <c r="I9" t="s">
        <v>81</v>
      </c>
      <c r="J9" t="s">
        <v>81</v>
      </c>
      <c r="L9">
        <v>3570.8</v>
      </c>
      <c r="M9">
        <v>-313.80000000000018</v>
      </c>
      <c r="N9" t="s">
        <v>64</v>
      </c>
      <c r="O9" t="s">
        <v>65</v>
      </c>
      <c r="P9" t="s">
        <v>66</v>
      </c>
      <c r="R9" t="s">
        <v>0</v>
      </c>
    </row>
    <row r="10" spans="1:19" x14ac:dyDescent="0.2">
      <c r="A10" t="s">
        <v>77</v>
      </c>
      <c r="B10" t="s">
        <v>45</v>
      </c>
      <c r="C10" t="s">
        <v>78</v>
      </c>
      <c r="D10" t="s">
        <v>79</v>
      </c>
      <c r="E10">
        <v>44985</v>
      </c>
      <c r="F10" t="s">
        <v>82</v>
      </c>
      <c r="I10" t="s">
        <v>83</v>
      </c>
      <c r="J10" t="s">
        <v>83</v>
      </c>
      <c r="L10">
        <v>3342.73</v>
      </c>
      <c r="M10">
        <v>-3656.53</v>
      </c>
      <c r="N10" t="s">
        <v>64</v>
      </c>
      <c r="O10" t="s">
        <v>65</v>
      </c>
      <c r="P10" t="s">
        <v>66</v>
      </c>
      <c r="R10" t="s">
        <v>0</v>
      </c>
    </row>
    <row r="11" spans="1:19" x14ac:dyDescent="0.2">
      <c r="A11" t="s">
        <v>77</v>
      </c>
      <c r="B11" t="s">
        <v>45</v>
      </c>
      <c r="C11" t="s">
        <v>78</v>
      </c>
      <c r="D11" t="s">
        <v>79</v>
      </c>
      <c r="E11">
        <v>45016</v>
      </c>
      <c r="F11" t="s">
        <v>84</v>
      </c>
      <c r="I11" t="s">
        <v>85</v>
      </c>
      <c r="J11" t="s">
        <v>86</v>
      </c>
      <c r="L11">
        <v>5015.1000000000004</v>
      </c>
      <c r="M11">
        <v>-8671.630000000001</v>
      </c>
      <c r="N11" t="s">
        <v>64</v>
      </c>
      <c r="O11" t="s">
        <v>65</v>
      </c>
      <c r="P11" t="s">
        <v>66</v>
      </c>
      <c r="R11" t="s">
        <v>0</v>
      </c>
    </row>
    <row r="12" spans="1:19" x14ac:dyDescent="0.2">
      <c r="A12" t="s">
        <v>77</v>
      </c>
      <c r="B12" t="s">
        <v>45</v>
      </c>
      <c r="C12" t="s">
        <v>78</v>
      </c>
      <c r="D12" t="s">
        <v>79</v>
      </c>
      <c r="E12">
        <v>45046</v>
      </c>
      <c r="F12" t="s">
        <v>87</v>
      </c>
      <c r="I12" t="s">
        <v>88</v>
      </c>
      <c r="J12" t="s">
        <v>89</v>
      </c>
      <c r="L12">
        <v>2915.79</v>
      </c>
      <c r="M12">
        <v>-11587.420000000002</v>
      </c>
      <c r="N12" t="s">
        <v>64</v>
      </c>
      <c r="O12" t="s">
        <v>65</v>
      </c>
      <c r="P12" t="s">
        <v>66</v>
      </c>
      <c r="R12" t="s">
        <v>0</v>
      </c>
    </row>
    <row r="13" spans="1:19" x14ac:dyDescent="0.2">
      <c r="A13" t="s">
        <v>77</v>
      </c>
      <c r="B13" t="s">
        <v>45</v>
      </c>
      <c r="C13" t="s">
        <v>78</v>
      </c>
      <c r="D13" t="s">
        <v>79</v>
      </c>
      <c r="E13">
        <v>45077</v>
      </c>
      <c r="F13" t="s">
        <v>90</v>
      </c>
      <c r="I13" t="s">
        <v>91</v>
      </c>
      <c r="J13" t="s">
        <v>91</v>
      </c>
      <c r="L13">
        <v>5840</v>
      </c>
      <c r="M13">
        <v>-17427.420000000002</v>
      </c>
      <c r="N13" t="s">
        <v>64</v>
      </c>
      <c r="O13" t="s">
        <v>92</v>
      </c>
      <c r="P13" t="s">
        <v>66</v>
      </c>
      <c r="R13" t="s">
        <v>0</v>
      </c>
    </row>
    <row r="14" spans="1:19" x14ac:dyDescent="0.2">
      <c r="A14" t="s">
        <v>77</v>
      </c>
      <c r="B14" t="s">
        <v>45</v>
      </c>
      <c r="C14" t="s">
        <v>78</v>
      </c>
      <c r="D14" t="s">
        <v>79</v>
      </c>
      <c r="E14">
        <v>45080</v>
      </c>
      <c r="F14" t="s">
        <v>93</v>
      </c>
      <c r="I14" t="s">
        <v>94</v>
      </c>
      <c r="J14" t="s">
        <v>94</v>
      </c>
      <c r="K14">
        <v>7975.5</v>
      </c>
      <c r="M14">
        <v>-9451.9200000000019</v>
      </c>
      <c r="N14" t="s">
        <v>64</v>
      </c>
      <c r="O14" t="s">
        <v>65</v>
      </c>
      <c r="P14" t="s">
        <v>66</v>
      </c>
      <c r="R14" t="s">
        <v>0</v>
      </c>
    </row>
    <row r="15" spans="1:19" x14ac:dyDescent="0.2">
      <c r="A15" t="s">
        <v>77</v>
      </c>
      <c r="B15" t="s">
        <v>45</v>
      </c>
      <c r="C15" t="s">
        <v>78</v>
      </c>
      <c r="D15" t="s">
        <v>79</v>
      </c>
      <c r="E15">
        <v>45093</v>
      </c>
      <c r="F15" t="s">
        <v>95</v>
      </c>
      <c r="I15" t="s">
        <v>96</v>
      </c>
      <c r="J15" t="s">
        <v>96</v>
      </c>
      <c r="K15">
        <v>3570.8</v>
      </c>
      <c r="M15">
        <v>-5881.1200000000017</v>
      </c>
      <c r="N15" t="s">
        <v>64</v>
      </c>
      <c r="O15" t="s">
        <v>65</v>
      </c>
      <c r="P15" t="s">
        <v>66</v>
      </c>
      <c r="R15" t="s">
        <v>0</v>
      </c>
    </row>
    <row r="16" spans="1:19" x14ac:dyDescent="0.2">
      <c r="A16" t="s">
        <v>77</v>
      </c>
      <c r="B16" t="s">
        <v>45</v>
      </c>
      <c r="C16" t="s">
        <v>78</v>
      </c>
      <c r="D16" t="s">
        <v>79</v>
      </c>
      <c r="E16">
        <v>45093</v>
      </c>
      <c r="F16" t="s">
        <v>97</v>
      </c>
      <c r="I16" t="s">
        <v>98</v>
      </c>
      <c r="J16" t="s">
        <v>98</v>
      </c>
      <c r="K16">
        <v>3342.73</v>
      </c>
      <c r="M16">
        <v>-2538.3900000000017</v>
      </c>
      <c r="N16" t="s">
        <v>64</v>
      </c>
      <c r="O16" t="s">
        <v>65</v>
      </c>
      <c r="P16" t="s">
        <v>66</v>
      </c>
      <c r="R16" t="s">
        <v>0</v>
      </c>
    </row>
    <row r="17" spans="1:18" x14ac:dyDescent="0.2">
      <c r="A17" t="s">
        <v>77</v>
      </c>
      <c r="B17" t="s">
        <v>45</v>
      </c>
      <c r="C17" t="s">
        <v>78</v>
      </c>
      <c r="D17" t="s">
        <v>79</v>
      </c>
      <c r="E17">
        <v>45107</v>
      </c>
      <c r="F17" t="s">
        <v>99</v>
      </c>
      <c r="I17" t="s">
        <v>100</v>
      </c>
      <c r="J17" t="s">
        <v>100</v>
      </c>
      <c r="L17">
        <v>6038.7</v>
      </c>
      <c r="M17">
        <v>-8577.090000000002</v>
      </c>
      <c r="N17" t="s">
        <v>64</v>
      </c>
      <c r="O17" t="s">
        <v>92</v>
      </c>
      <c r="P17" t="s">
        <v>66</v>
      </c>
      <c r="R17" t="s">
        <v>0</v>
      </c>
    </row>
    <row r="18" spans="1:18" x14ac:dyDescent="0.2">
      <c r="A18" t="s">
        <v>77</v>
      </c>
      <c r="B18" t="s">
        <v>45</v>
      </c>
      <c r="C18" t="s">
        <v>78</v>
      </c>
      <c r="D18" t="s">
        <v>79</v>
      </c>
      <c r="E18">
        <v>45117</v>
      </c>
      <c r="F18" t="s">
        <v>101</v>
      </c>
      <c r="I18" t="s">
        <v>102</v>
      </c>
      <c r="J18" t="s">
        <v>102</v>
      </c>
      <c r="K18">
        <v>6114.18</v>
      </c>
      <c r="M18">
        <v>-2462.9100000000017</v>
      </c>
      <c r="N18" t="s">
        <v>64</v>
      </c>
      <c r="O18" t="s">
        <v>65</v>
      </c>
      <c r="P18" t="s">
        <v>66</v>
      </c>
      <c r="R18" t="s">
        <v>0</v>
      </c>
    </row>
    <row r="19" spans="1:18" x14ac:dyDescent="0.2">
      <c r="A19" t="s">
        <v>77</v>
      </c>
      <c r="B19" t="s">
        <v>45</v>
      </c>
      <c r="C19" t="s">
        <v>78</v>
      </c>
      <c r="D19" t="s">
        <v>79</v>
      </c>
      <c r="E19">
        <v>45141</v>
      </c>
      <c r="F19" t="s">
        <v>103</v>
      </c>
      <c r="I19" t="s">
        <v>104</v>
      </c>
      <c r="J19" t="s">
        <v>104</v>
      </c>
      <c r="K19">
        <v>5015.1000000000004</v>
      </c>
      <c r="M19">
        <v>2552.1899999999987</v>
      </c>
      <c r="N19" t="s">
        <v>64</v>
      </c>
      <c r="O19" t="s">
        <v>65</v>
      </c>
      <c r="P19" t="s">
        <v>66</v>
      </c>
      <c r="R19" t="s">
        <v>0</v>
      </c>
    </row>
    <row r="20" spans="1:18" x14ac:dyDescent="0.2">
      <c r="A20" t="s">
        <v>77</v>
      </c>
      <c r="B20" t="s">
        <v>45</v>
      </c>
      <c r="C20" t="s">
        <v>78</v>
      </c>
      <c r="D20" t="s">
        <v>79</v>
      </c>
      <c r="E20">
        <v>45141</v>
      </c>
      <c r="F20" t="s">
        <v>105</v>
      </c>
      <c r="I20" t="s">
        <v>106</v>
      </c>
      <c r="J20" t="s">
        <v>106</v>
      </c>
      <c r="K20">
        <v>2915.79</v>
      </c>
      <c r="M20">
        <v>5467.9799999999987</v>
      </c>
      <c r="N20" t="s">
        <v>64</v>
      </c>
      <c r="O20" t="s">
        <v>65</v>
      </c>
      <c r="P20" t="s">
        <v>66</v>
      </c>
      <c r="R20" t="s">
        <v>0</v>
      </c>
    </row>
    <row r="21" spans="1:18" x14ac:dyDescent="0.2">
      <c r="A21" t="s">
        <v>77</v>
      </c>
      <c r="B21" t="s">
        <v>45</v>
      </c>
      <c r="C21" t="s">
        <v>78</v>
      </c>
      <c r="D21" t="s">
        <v>79</v>
      </c>
      <c r="E21">
        <v>45169</v>
      </c>
      <c r="F21" t="s">
        <v>107</v>
      </c>
      <c r="I21" t="s">
        <v>108</v>
      </c>
      <c r="J21" t="s">
        <v>109</v>
      </c>
      <c r="L21">
        <v>4997</v>
      </c>
      <c r="M21">
        <v>470.97999999999865</v>
      </c>
      <c r="N21" t="s">
        <v>64</v>
      </c>
      <c r="O21" t="s">
        <v>65</v>
      </c>
      <c r="P21" t="s">
        <v>66</v>
      </c>
      <c r="R21" t="s">
        <v>0</v>
      </c>
    </row>
    <row r="22" spans="1:18" x14ac:dyDescent="0.2">
      <c r="A22" t="s">
        <v>77</v>
      </c>
      <c r="B22" t="s">
        <v>45</v>
      </c>
      <c r="C22" t="s">
        <v>78</v>
      </c>
      <c r="D22" t="s">
        <v>79</v>
      </c>
      <c r="E22">
        <v>45187</v>
      </c>
      <c r="F22" t="s">
        <v>110</v>
      </c>
      <c r="I22" t="s">
        <v>111</v>
      </c>
      <c r="J22" t="s">
        <v>112</v>
      </c>
      <c r="K22">
        <v>516.07000000000005</v>
      </c>
      <c r="M22">
        <v>987.0499999999987</v>
      </c>
      <c r="N22" t="s">
        <v>64</v>
      </c>
      <c r="O22" t="s">
        <v>92</v>
      </c>
      <c r="P22" t="s">
        <v>66</v>
      </c>
      <c r="R22" t="s">
        <v>0</v>
      </c>
    </row>
    <row r="23" spans="1:18" x14ac:dyDescent="0.2">
      <c r="A23" t="s">
        <v>117</v>
      </c>
      <c r="B23" t="s">
        <v>45</v>
      </c>
      <c r="C23" t="s">
        <v>118</v>
      </c>
      <c r="D23" t="s">
        <v>119</v>
      </c>
      <c r="E23">
        <v>44927</v>
      </c>
      <c r="F23" t="s">
        <v>120</v>
      </c>
      <c r="I23" t="s">
        <v>121</v>
      </c>
      <c r="J23" t="s">
        <v>121</v>
      </c>
      <c r="L23">
        <v>10</v>
      </c>
      <c r="M23">
        <v>28840.73</v>
      </c>
      <c r="N23" t="s">
        <v>64</v>
      </c>
      <c r="O23" t="s">
        <v>65</v>
      </c>
      <c r="P23" t="s">
        <v>66</v>
      </c>
      <c r="R23" t="s">
        <v>0</v>
      </c>
    </row>
    <row r="24" spans="1:18" x14ac:dyDescent="0.2">
      <c r="A24" t="s">
        <v>117</v>
      </c>
      <c r="B24" t="s">
        <v>45</v>
      </c>
      <c r="C24" t="s">
        <v>118</v>
      </c>
      <c r="D24" t="s">
        <v>119</v>
      </c>
      <c r="E24">
        <v>44927</v>
      </c>
      <c r="F24" t="s">
        <v>122</v>
      </c>
      <c r="I24" t="s">
        <v>123</v>
      </c>
      <c r="J24" t="s">
        <v>123</v>
      </c>
      <c r="L24">
        <v>0.5</v>
      </c>
      <c r="M24">
        <v>28840.23</v>
      </c>
      <c r="N24" t="s">
        <v>64</v>
      </c>
      <c r="O24" t="s">
        <v>65</v>
      </c>
      <c r="P24" t="s">
        <v>66</v>
      </c>
      <c r="R24" t="s">
        <v>0</v>
      </c>
    </row>
    <row r="25" spans="1:18" x14ac:dyDescent="0.2">
      <c r="A25" t="s">
        <v>117</v>
      </c>
      <c r="B25" t="s">
        <v>45</v>
      </c>
      <c r="C25" t="s">
        <v>118</v>
      </c>
      <c r="D25" t="s">
        <v>119</v>
      </c>
      <c r="E25">
        <v>44927</v>
      </c>
      <c r="F25" t="s">
        <v>124</v>
      </c>
      <c r="I25" t="s">
        <v>125</v>
      </c>
      <c r="J25" t="s">
        <v>126</v>
      </c>
      <c r="L25">
        <v>10631.25</v>
      </c>
      <c r="M25">
        <v>18208.98</v>
      </c>
      <c r="N25" t="s">
        <v>64</v>
      </c>
      <c r="O25" t="s">
        <v>92</v>
      </c>
      <c r="P25" t="s">
        <v>66</v>
      </c>
      <c r="R25" t="s">
        <v>0</v>
      </c>
    </row>
    <row r="26" spans="1:18" x14ac:dyDescent="0.2">
      <c r="A26" t="s">
        <v>117</v>
      </c>
      <c r="B26" t="s">
        <v>45</v>
      </c>
      <c r="C26" t="s">
        <v>118</v>
      </c>
      <c r="D26" t="s">
        <v>119</v>
      </c>
      <c r="E26">
        <v>44928</v>
      </c>
      <c r="F26" t="s">
        <v>127</v>
      </c>
      <c r="I26" t="s">
        <v>128</v>
      </c>
      <c r="J26" t="s">
        <v>128</v>
      </c>
      <c r="L26">
        <v>6400</v>
      </c>
      <c r="M26">
        <v>11808.98</v>
      </c>
      <c r="N26" t="s">
        <v>64</v>
      </c>
      <c r="O26" t="s">
        <v>65</v>
      </c>
      <c r="P26" t="s">
        <v>66</v>
      </c>
      <c r="R26" t="s">
        <v>0</v>
      </c>
    </row>
    <row r="27" spans="1:18" x14ac:dyDescent="0.2">
      <c r="A27" t="s">
        <v>117</v>
      </c>
      <c r="B27" t="s">
        <v>45</v>
      </c>
      <c r="C27" t="s">
        <v>118</v>
      </c>
      <c r="D27" t="s">
        <v>119</v>
      </c>
      <c r="E27">
        <v>44931</v>
      </c>
      <c r="F27" t="s">
        <v>129</v>
      </c>
      <c r="I27" t="s">
        <v>130</v>
      </c>
      <c r="J27" t="s">
        <v>130</v>
      </c>
      <c r="L27">
        <v>10462.25</v>
      </c>
      <c r="M27">
        <v>1346.7299999999996</v>
      </c>
      <c r="N27" t="s">
        <v>64</v>
      </c>
      <c r="O27" t="s">
        <v>92</v>
      </c>
      <c r="P27" t="s">
        <v>66</v>
      </c>
      <c r="R27" t="s">
        <v>0</v>
      </c>
    </row>
    <row r="28" spans="1:18" x14ac:dyDescent="0.2">
      <c r="A28" t="s">
        <v>117</v>
      </c>
      <c r="B28" t="s">
        <v>45</v>
      </c>
      <c r="C28" t="s">
        <v>118</v>
      </c>
      <c r="D28" t="s">
        <v>119</v>
      </c>
      <c r="E28">
        <v>44931</v>
      </c>
      <c r="F28" t="s">
        <v>131</v>
      </c>
      <c r="I28" t="s">
        <v>132</v>
      </c>
      <c r="J28" t="s">
        <v>132</v>
      </c>
      <c r="L28">
        <v>4297.18</v>
      </c>
      <c r="M28">
        <v>-2950.4500000000007</v>
      </c>
      <c r="N28" t="s">
        <v>64</v>
      </c>
      <c r="O28" t="s">
        <v>65</v>
      </c>
      <c r="P28" t="s">
        <v>66</v>
      </c>
      <c r="R28" t="s">
        <v>0</v>
      </c>
    </row>
    <row r="29" spans="1:18" x14ac:dyDescent="0.2">
      <c r="A29" t="s">
        <v>117</v>
      </c>
      <c r="B29" t="s">
        <v>45</v>
      </c>
      <c r="C29" t="s">
        <v>118</v>
      </c>
      <c r="D29" t="s">
        <v>119</v>
      </c>
      <c r="E29">
        <v>44932</v>
      </c>
      <c r="F29" t="s">
        <v>133</v>
      </c>
      <c r="I29" t="s">
        <v>134</v>
      </c>
      <c r="J29" t="s">
        <v>135</v>
      </c>
      <c r="L29">
        <v>5181</v>
      </c>
      <c r="M29">
        <v>-8131.4500000000007</v>
      </c>
      <c r="N29" t="s">
        <v>64</v>
      </c>
      <c r="O29" t="s">
        <v>65</v>
      </c>
      <c r="P29" t="s">
        <v>66</v>
      </c>
      <c r="R29" t="s">
        <v>0</v>
      </c>
    </row>
    <row r="30" spans="1:18" x14ac:dyDescent="0.2">
      <c r="A30" t="s">
        <v>117</v>
      </c>
      <c r="B30" t="s">
        <v>45</v>
      </c>
      <c r="C30" t="s">
        <v>118</v>
      </c>
      <c r="D30" t="s">
        <v>119</v>
      </c>
      <c r="E30">
        <v>44932</v>
      </c>
      <c r="F30" t="s">
        <v>136</v>
      </c>
      <c r="I30" t="s">
        <v>137</v>
      </c>
      <c r="J30" t="s">
        <v>137</v>
      </c>
      <c r="L30">
        <v>24553</v>
      </c>
      <c r="M30">
        <v>-32684.45</v>
      </c>
      <c r="N30" t="s">
        <v>64</v>
      </c>
      <c r="O30" t="s">
        <v>65</v>
      </c>
      <c r="P30" t="s">
        <v>66</v>
      </c>
      <c r="R30" t="s">
        <v>0</v>
      </c>
    </row>
    <row r="31" spans="1:18" x14ac:dyDescent="0.2">
      <c r="A31" t="s">
        <v>117</v>
      </c>
      <c r="B31" t="s">
        <v>45</v>
      </c>
      <c r="C31" t="s">
        <v>118</v>
      </c>
      <c r="D31" t="s">
        <v>119</v>
      </c>
      <c r="E31">
        <v>44933</v>
      </c>
      <c r="F31" t="s">
        <v>138</v>
      </c>
      <c r="I31" t="s">
        <v>139</v>
      </c>
      <c r="J31" t="s">
        <v>139</v>
      </c>
      <c r="L31">
        <v>81583</v>
      </c>
      <c r="M31">
        <v>-114267.45</v>
      </c>
      <c r="N31" t="s">
        <v>64</v>
      </c>
      <c r="O31" t="s">
        <v>65</v>
      </c>
      <c r="P31" t="s">
        <v>66</v>
      </c>
      <c r="R31" t="s">
        <v>0</v>
      </c>
    </row>
    <row r="32" spans="1:18" x14ac:dyDescent="0.2">
      <c r="A32" t="s">
        <v>117</v>
      </c>
      <c r="B32" t="s">
        <v>45</v>
      </c>
      <c r="C32" t="s">
        <v>118</v>
      </c>
      <c r="D32" t="s">
        <v>119</v>
      </c>
      <c r="E32">
        <v>44935</v>
      </c>
      <c r="F32" t="s">
        <v>140</v>
      </c>
      <c r="I32" t="s">
        <v>141</v>
      </c>
      <c r="J32" t="s">
        <v>141</v>
      </c>
      <c r="K32">
        <v>3570</v>
      </c>
      <c r="M32">
        <v>-110697.45</v>
      </c>
      <c r="N32" t="s">
        <v>64</v>
      </c>
      <c r="O32" t="s">
        <v>65</v>
      </c>
      <c r="P32" t="s">
        <v>66</v>
      </c>
      <c r="R32" t="s">
        <v>0</v>
      </c>
    </row>
    <row r="33" spans="1:18" x14ac:dyDescent="0.2">
      <c r="A33" t="s">
        <v>117</v>
      </c>
      <c r="B33" t="s">
        <v>45</v>
      </c>
      <c r="C33" t="s">
        <v>118</v>
      </c>
      <c r="D33" t="s">
        <v>119</v>
      </c>
      <c r="E33">
        <v>44936</v>
      </c>
      <c r="F33" t="s">
        <v>142</v>
      </c>
      <c r="I33" t="s">
        <v>143</v>
      </c>
      <c r="J33" t="s">
        <v>143</v>
      </c>
      <c r="L33">
        <v>5250</v>
      </c>
      <c r="M33">
        <v>-115947.45</v>
      </c>
      <c r="N33" t="s">
        <v>64</v>
      </c>
      <c r="O33" t="s">
        <v>65</v>
      </c>
      <c r="P33" t="s">
        <v>66</v>
      </c>
      <c r="R33" t="s">
        <v>0</v>
      </c>
    </row>
    <row r="34" spans="1:18" x14ac:dyDescent="0.2">
      <c r="A34" t="s">
        <v>117</v>
      </c>
      <c r="B34" t="s">
        <v>45</v>
      </c>
      <c r="C34" t="s">
        <v>118</v>
      </c>
      <c r="D34" t="s">
        <v>119</v>
      </c>
      <c r="E34">
        <v>44936</v>
      </c>
      <c r="F34" t="s">
        <v>144</v>
      </c>
      <c r="I34" t="s">
        <v>145</v>
      </c>
      <c r="J34" t="s">
        <v>145</v>
      </c>
      <c r="L34">
        <v>5720</v>
      </c>
      <c r="M34">
        <v>-121667.45</v>
      </c>
      <c r="N34" t="s">
        <v>64</v>
      </c>
      <c r="O34" t="s">
        <v>92</v>
      </c>
      <c r="P34" t="s">
        <v>66</v>
      </c>
      <c r="R34" t="s">
        <v>0</v>
      </c>
    </row>
    <row r="35" spans="1:18" x14ac:dyDescent="0.2">
      <c r="A35" t="s">
        <v>117</v>
      </c>
      <c r="B35" t="s">
        <v>45</v>
      </c>
      <c r="C35" t="s">
        <v>118</v>
      </c>
      <c r="D35" t="s">
        <v>119</v>
      </c>
      <c r="E35">
        <v>44939</v>
      </c>
      <c r="F35" t="s">
        <v>146</v>
      </c>
      <c r="I35" t="s">
        <v>147</v>
      </c>
      <c r="J35" t="s">
        <v>147</v>
      </c>
      <c r="L35">
        <v>5068.33</v>
      </c>
      <c r="M35">
        <v>-126735.78</v>
      </c>
      <c r="N35" t="s">
        <v>64</v>
      </c>
      <c r="O35" t="s">
        <v>65</v>
      </c>
      <c r="P35" t="s">
        <v>66</v>
      </c>
      <c r="R35" t="s">
        <v>0</v>
      </c>
    </row>
    <row r="36" spans="1:18" x14ac:dyDescent="0.2">
      <c r="A36" t="s">
        <v>117</v>
      </c>
      <c r="B36" t="s">
        <v>45</v>
      </c>
      <c r="C36" t="s">
        <v>118</v>
      </c>
      <c r="D36" t="s">
        <v>119</v>
      </c>
      <c r="E36">
        <v>44940</v>
      </c>
      <c r="F36" t="s">
        <v>148</v>
      </c>
      <c r="I36" t="s">
        <v>149</v>
      </c>
      <c r="J36" t="s">
        <v>149</v>
      </c>
      <c r="L36">
        <v>18750</v>
      </c>
      <c r="M36">
        <v>-145485.78</v>
      </c>
      <c r="N36" t="s">
        <v>64</v>
      </c>
      <c r="O36" t="s">
        <v>92</v>
      </c>
      <c r="P36" t="s">
        <v>66</v>
      </c>
      <c r="R36" t="s">
        <v>0</v>
      </c>
    </row>
    <row r="37" spans="1:18" x14ac:dyDescent="0.2">
      <c r="A37" t="s">
        <v>117</v>
      </c>
      <c r="B37" t="s">
        <v>45</v>
      </c>
      <c r="C37" t="s">
        <v>118</v>
      </c>
      <c r="D37" t="s">
        <v>119</v>
      </c>
      <c r="E37">
        <v>44942</v>
      </c>
      <c r="F37" t="s">
        <v>150</v>
      </c>
      <c r="I37" t="s">
        <v>151</v>
      </c>
      <c r="J37" t="s">
        <v>152</v>
      </c>
      <c r="K37">
        <v>41868.75</v>
      </c>
      <c r="M37">
        <v>-103617.03</v>
      </c>
      <c r="N37" t="s">
        <v>64</v>
      </c>
      <c r="O37" t="s">
        <v>65</v>
      </c>
      <c r="P37" t="s">
        <v>66</v>
      </c>
      <c r="R37" t="s">
        <v>0</v>
      </c>
    </row>
    <row r="38" spans="1:18" x14ac:dyDescent="0.2">
      <c r="A38" t="s">
        <v>117</v>
      </c>
      <c r="B38" t="s">
        <v>45</v>
      </c>
      <c r="C38" t="s">
        <v>118</v>
      </c>
      <c r="D38" t="s">
        <v>119</v>
      </c>
      <c r="E38">
        <v>44942</v>
      </c>
      <c r="F38" t="s">
        <v>153</v>
      </c>
      <c r="I38" t="s">
        <v>154</v>
      </c>
      <c r="J38" t="s">
        <v>155</v>
      </c>
      <c r="L38">
        <v>4200</v>
      </c>
      <c r="M38">
        <v>-107817.03</v>
      </c>
      <c r="N38" t="s">
        <v>64</v>
      </c>
      <c r="O38" t="s">
        <v>65</v>
      </c>
      <c r="P38" t="s">
        <v>66</v>
      </c>
      <c r="R38" t="s">
        <v>0</v>
      </c>
    </row>
    <row r="39" spans="1:18" x14ac:dyDescent="0.2">
      <c r="A39" t="s">
        <v>117</v>
      </c>
      <c r="B39" t="s">
        <v>45</v>
      </c>
      <c r="C39" t="s">
        <v>118</v>
      </c>
      <c r="D39" t="s">
        <v>119</v>
      </c>
      <c r="E39">
        <v>44942</v>
      </c>
      <c r="F39" t="s">
        <v>156</v>
      </c>
      <c r="I39" t="s">
        <v>157</v>
      </c>
      <c r="J39" t="s">
        <v>157</v>
      </c>
      <c r="L39">
        <v>300</v>
      </c>
      <c r="M39">
        <v>-108117.03</v>
      </c>
      <c r="N39" t="s">
        <v>64</v>
      </c>
      <c r="O39" t="s">
        <v>65</v>
      </c>
      <c r="P39" t="s">
        <v>66</v>
      </c>
      <c r="R39" t="s">
        <v>0</v>
      </c>
    </row>
    <row r="40" spans="1:18" x14ac:dyDescent="0.2">
      <c r="A40" t="s">
        <v>117</v>
      </c>
      <c r="B40" t="s">
        <v>45</v>
      </c>
      <c r="C40" t="s">
        <v>118</v>
      </c>
      <c r="D40" t="s">
        <v>119</v>
      </c>
      <c r="E40">
        <v>44942</v>
      </c>
      <c r="F40" t="s">
        <v>158</v>
      </c>
      <c r="I40" t="s">
        <v>159</v>
      </c>
      <c r="J40" t="s">
        <v>160</v>
      </c>
      <c r="K40">
        <v>18454</v>
      </c>
      <c r="M40">
        <v>-89663.03</v>
      </c>
      <c r="N40" t="s">
        <v>64</v>
      </c>
      <c r="O40" t="s">
        <v>65</v>
      </c>
      <c r="P40" t="s">
        <v>66</v>
      </c>
      <c r="R40" t="s">
        <v>0</v>
      </c>
    </row>
    <row r="41" spans="1:18" x14ac:dyDescent="0.2">
      <c r="A41" t="s">
        <v>117</v>
      </c>
      <c r="B41" t="s">
        <v>45</v>
      </c>
      <c r="C41" t="s">
        <v>118</v>
      </c>
      <c r="D41" t="s">
        <v>119</v>
      </c>
      <c r="E41">
        <v>44942</v>
      </c>
      <c r="F41" t="s">
        <v>161</v>
      </c>
      <c r="I41" t="s">
        <v>162</v>
      </c>
      <c r="J41" t="s">
        <v>162</v>
      </c>
      <c r="L41">
        <v>41869</v>
      </c>
      <c r="M41">
        <v>-131532.03</v>
      </c>
      <c r="N41" t="s">
        <v>64</v>
      </c>
      <c r="O41" t="s">
        <v>92</v>
      </c>
      <c r="P41" t="s">
        <v>66</v>
      </c>
      <c r="R41" t="s">
        <v>0</v>
      </c>
    </row>
    <row r="42" spans="1:18" x14ac:dyDescent="0.2">
      <c r="A42" t="s">
        <v>117</v>
      </c>
      <c r="B42" t="s">
        <v>45</v>
      </c>
      <c r="C42" t="s">
        <v>118</v>
      </c>
      <c r="D42" t="s">
        <v>119</v>
      </c>
      <c r="E42">
        <v>44942</v>
      </c>
      <c r="F42" t="s">
        <v>163</v>
      </c>
      <c r="I42" t="s">
        <v>164</v>
      </c>
      <c r="J42" t="s">
        <v>164</v>
      </c>
      <c r="L42">
        <v>15</v>
      </c>
      <c r="M42">
        <v>-131547.03</v>
      </c>
      <c r="N42" t="s">
        <v>64</v>
      </c>
      <c r="O42" t="s">
        <v>65</v>
      </c>
      <c r="P42" t="s">
        <v>66</v>
      </c>
      <c r="R42" t="s">
        <v>0</v>
      </c>
    </row>
    <row r="43" spans="1:18" x14ac:dyDescent="0.2">
      <c r="A43" t="s">
        <v>117</v>
      </c>
      <c r="B43" t="s">
        <v>45</v>
      </c>
      <c r="C43" t="s">
        <v>118</v>
      </c>
      <c r="D43" t="s">
        <v>119</v>
      </c>
      <c r="E43">
        <v>44942</v>
      </c>
      <c r="F43" t="s">
        <v>165</v>
      </c>
      <c r="I43" t="s">
        <v>166</v>
      </c>
      <c r="J43" t="s">
        <v>166</v>
      </c>
      <c r="L43">
        <v>63</v>
      </c>
      <c r="M43">
        <v>-131610.03</v>
      </c>
      <c r="N43" t="s">
        <v>64</v>
      </c>
      <c r="O43" t="s">
        <v>65</v>
      </c>
      <c r="P43" t="s">
        <v>66</v>
      </c>
      <c r="R43" t="s">
        <v>0</v>
      </c>
    </row>
    <row r="44" spans="1:18" x14ac:dyDescent="0.2">
      <c r="A44" t="s">
        <v>117</v>
      </c>
      <c r="B44" t="s">
        <v>45</v>
      </c>
      <c r="C44" t="s">
        <v>118</v>
      </c>
      <c r="D44" t="s">
        <v>119</v>
      </c>
      <c r="E44">
        <v>44944</v>
      </c>
      <c r="F44" t="s">
        <v>167</v>
      </c>
      <c r="I44" t="s">
        <v>168</v>
      </c>
      <c r="J44" t="s">
        <v>168</v>
      </c>
      <c r="L44">
        <v>978</v>
      </c>
      <c r="M44">
        <v>-132588.03</v>
      </c>
      <c r="N44" t="s">
        <v>64</v>
      </c>
      <c r="O44" t="s">
        <v>92</v>
      </c>
      <c r="P44" t="s">
        <v>66</v>
      </c>
      <c r="R44" t="s">
        <v>0</v>
      </c>
    </row>
    <row r="45" spans="1:18" x14ac:dyDescent="0.2">
      <c r="A45" t="s">
        <v>117</v>
      </c>
      <c r="B45" t="s">
        <v>45</v>
      </c>
      <c r="C45" t="s">
        <v>118</v>
      </c>
      <c r="D45" t="s">
        <v>119</v>
      </c>
      <c r="E45">
        <v>44944</v>
      </c>
      <c r="F45" t="s">
        <v>169</v>
      </c>
      <c r="I45" t="s">
        <v>170</v>
      </c>
      <c r="J45" t="s">
        <v>170</v>
      </c>
      <c r="L45">
        <v>5913</v>
      </c>
      <c r="M45">
        <v>-138501.03</v>
      </c>
      <c r="N45" t="s">
        <v>64</v>
      </c>
      <c r="O45" t="s">
        <v>92</v>
      </c>
      <c r="P45" t="s">
        <v>66</v>
      </c>
      <c r="R45" t="s">
        <v>0</v>
      </c>
    </row>
    <row r="46" spans="1:18" x14ac:dyDescent="0.2">
      <c r="A46" t="s">
        <v>117</v>
      </c>
      <c r="B46" t="s">
        <v>45</v>
      </c>
      <c r="C46" t="s">
        <v>118</v>
      </c>
      <c r="D46" t="s">
        <v>119</v>
      </c>
      <c r="E46">
        <v>44944</v>
      </c>
      <c r="F46" t="s">
        <v>171</v>
      </c>
      <c r="I46" t="s">
        <v>172</v>
      </c>
      <c r="J46" t="s">
        <v>172</v>
      </c>
      <c r="K46">
        <v>86105</v>
      </c>
      <c r="M46">
        <v>-52396.03</v>
      </c>
      <c r="N46" t="s">
        <v>64</v>
      </c>
      <c r="O46" t="s">
        <v>92</v>
      </c>
      <c r="P46" t="s">
        <v>66</v>
      </c>
      <c r="R46" t="s">
        <v>0</v>
      </c>
    </row>
    <row r="47" spans="1:18" x14ac:dyDescent="0.2">
      <c r="A47" t="s">
        <v>117</v>
      </c>
      <c r="B47" t="s">
        <v>45</v>
      </c>
      <c r="C47" t="s">
        <v>118</v>
      </c>
      <c r="D47" t="s">
        <v>119</v>
      </c>
      <c r="E47">
        <v>44945</v>
      </c>
      <c r="F47" t="s">
        <v>173</v>
      </c>
      <c r="I47" t="s">
        <v>174</v>
      </c>
      <c r="J47" t="s">
        <v>174</v>
      </c>
      <c r="K47">
        <v>41868.75</v>
      </c>
      <c r="M47">
        <v>-10527.279999999999</v>
      </c>
      <c r="N47" t="s">
        <v>64</v>
      </c>
      <c r="O47" t="s">
        <v>92</v>
      </c>
      <c r="P47" t="s">
        <v>66</v>
      </c>
      <c r="R47" t="s">
        <v>0</v>
      </c>
    </row>
    <row r="48" spans="1:18" x14ac:dyDescent="0.2">
      <c r="A48" t="s">
        <v>117</v>
      </c>
      <c r="B48" t="s">
        <v>45</v>
      </c>
      <c r="C48" t="s">
        <v>118</v>
      </c>
      <c r="D48" t="s">
        <v>119</v>
      </c>
      <c r="E48">
        <v>44945</v>
      </c>
      <c r="F48" t="s">
        <v>175</v>
      </c>
      <c r="I48" t="s">
        <v>174</v>
      </c>
      <c r="J48" t="s">
        <v>174</v>
      </c>
      <c r="L48">
        <v>41868.75</v>
      </c>
      <c r="M48">
        <v>-52396.03</v>
      </c>
      <c r="N48" t="s">
        <v>64</v>
      </c>
      <c r="O48" t="s">
        <v>92</v>
      </c>
      <c r="P48" t="s">
        <v>66</v>
      </c>
      <c r="R48" t="s">
        <v>0</v>
      </c>
    </row>
    <row r="49" spans="1:18" x14ac:dyDescent="0.2">
      <c r="A49" t="s">
        <v>117</v>
      </c>
      <c r="B49" t="s">
        <v>45</v>
      </c>
      <c r="C49" t="s">
        <v>118</v>
      </c>
      <c r="D49" t="s">
        <v>119</v>
      </c>
      <c r="E49">
        <v>44945</v>
      </c>
      <c r="F49" t="s">
        <v>176</v>
      </c>
      <c r="I49" t="s">
        <v>177</v>
      </c>
      <c r="J49" t="s">
        <v>177</v>
      </c>
      <c r="K49">
        <v>98175</v>
      </c>
      <c r="M49">
        <v>45778.97</v>
      </c>
      <c r="N49" t="s">
        <v>64</v>
      </c>
      <c r="O49" t="s">
        <v>65</v>
      </c>
      <c r="P49" t="s">
        <v>66</v>
      </c>
      <c r="R49" t="s">
        <v>0</v>
      </c>
    </row>
    <row r="50" spans="1:18" x14ac:dyDescent="0.2">
      <c r="A50" t="s">
        <v>117</v>
      </c>
      <c r="B50" t="s">
        <v>45</v>
      </c>
      <c r="C50" t="s">
        <v>118</v>
      </c>
      <c r="D50" t="s">
        <v>119</v>
      </c>
      <c r="E50">
        <v>44946</v>
      </c>
      <c r="F50" t="s">
        <v>178</v>
      </c>
      <c r="I50" t="s">
        <v>179</v>
      </c>
      <c r="J50" t="s">
        <v>179</v>
      </c>
      <c r="K50">
        <v>18931.5</v>
      </c>
      <c r="M50">
        <v>64710.47</v>
      </c>
      <c r="N50" t="s">
        <v>64</v>
      </c>
      <c r="O50" t="s">
        <v>92</v>
      </c>
      <c r="P50" t="s">
        <v>66</v>
      </c>
      <c r="R50" t="s">
        <v>0</v>
      </c>
    </row>
    <row r="51" spans="1:18" x14ac:dyDescent="0.2">
      <c r="A51" t="s">
        <v>117</v>
      </c>
      <c r="B51" t="s">
        <v>45</v>
      </c>
      <c r="C51" t="s">
        <v>118</v>
      </c>
      <c r="D51" t="s">
        <v>119</v>
      </c>
      <c r="E51">
        <v>44946</v>
      </c>
      <c r="F51" t="s">
        <v>180</v>
      </c>
      <c r="I51" t="s">
        <v>179</v>
      </c>
      <c r="J51" t="s">
        <v>179</v>
      </c>
      <c r="L51">
        <v>18931.5</v>
      </c>
      <c r="M51">
        <v>45778.97</v>
      </c>
      <c r="N51" t="s">
        <v>64</v>
      </c>
      <c r="O51" t="s">
        <v>92</v>
      </c>
      <c r="P51" t="s">
        <v>66</v>
      </c>
      <c r="R51" t="s">
        <v>0</v>
      </c>
    </row>
    <row r="52" spans="1:18" x14ac:dyDescent="0.2">
      <c r="A52" t="s">
        <v>117</v>
      </c>
      <c r="B52" t="s">
        <v>45</v>
      </c>
      <c r="C52" t="s">
        <v>118</v>
      </c>
      <c r="D52" t="s">
        <v>119</v>
      </c>
      <c r="E52">
        <v>44950</v>
      </c>
      <c r="F52" t="s">
        <v>181</v>
      </c>
      <c r="I52" t="s">
        <v>182</v>
      </c>
      <c r="J52" t="s">
        <v>182</v>
      </c>
      <c r="L52">
        <v>3255</v>
      </c>
      <c r="M52">
        <v>42523.97</v>
      </c>
      <c r="N52" t="s">
        <v>64</v>
      </c>
      <c r="O52" t="s">
        <v>92</v>
      </c>
      <c r="P52" t="s">
        <v>66</v>
      </c>
      <c r="R52" t="s">
        <v>0</v>
      </c>
    </row>
    <row r="53" spans="1:18" x14ac:dyDescent="0.2">
      <c r="A53" t="s">
        <v>117</v>
      </c>
      <c r="B53" t="s">
        <v>45</v>
      </c>
      <c r="C53" t="s">
        <v>118</v>
      </c>
      <c r="D53" t="s">
        <v>119</v>
      </c>
      <c r="E53">
        <v>44950</v>
      </c>
      <c r="F53" t="s">
        <v>183</v>
      </c>
      <c r="I53" t="s">
        <v>184</v>
      </c>
      <c r="J53" t="s">
        <v>184</v>
      </c>
      <c r="L53">
        <v>1728.72</v>
      </c>
      <c r="M53">
        <v>40795.25</v>
      </c>
      <c r="N53" t="s">
        <v>64</v>
      </c>
      <c r="O53" t="s">
        <v>92</v>
      </c>
      <c r="P53" t="s">
        <v>66</v>
      </c>
      <c r="R53" t="s">
        <v>0</v>
      </c>
    </row>
    <row r="54" spans="1:18" x14ac:dyDescent="0.2">
      <c r="A54" t="s">
        <v>117</v>
      </c>
      <c r="B54" t="s">
        <v>45</v>
      </c>
      <c r="C54" t="s">
        <v>118</v>
      </c>
      <c r="D54" t="s">
        <v>119</v>
      </c>
      <c r="E54">
        <v>44950</v>
      </c>
      <c r="F54" t="s">
        <v>185</v>
      </c>
      <c r="I54" t="s">
        <v>186</v>
      </c>
      <c r="J54" t="s">
        <v>187</v>
      </c>
      <c r="K54">
        <v>100181</v>
      </c>
      <c r="M54">
        <v>140976.25</v>
      </c>
      <c r="N54" t="s">
        <v>64</v>
      </c>
      <c r="O54" t="s">
        <v>65</v>
      </c>
      <c r="P54" t="s">
        <v>66</v>
      </c>
      <c r="R54" t="s">
        <v>0</v>
      </c>
    </row>
    <row r="55" spans="1:18" x14ac:dyDescent="0.2">
      <c r="A55" t="s">
        <v>117</v>
      </c>
      <c r="B55" t="s">
        <v>45</v>
      </c>
      <c r="C55" t="s">
        <v>118</v>
      </c>
      <c r="D55" t="s">
        <v>119</v>
      </c>
      <c r="E55">
        <v>44951</v>
      </c>
      <c r="F55" t="s">
        <v>188</v>
      </c>
      <c r="I55" t="s">
        <v>189</v>
      </c>
      <c r="J55" t="s">
        <v>189</v>
      </c>
      <c r="L55">
        <v>23633.75</v>
      </c>
      <c r="M55">
        <v>117342.5</v>
      </c>
      <c r="N55" t="s">
        <v>64</v>
      </c>
      <c r="O55" t="s">
        <v>65</v>
      </c>
      <c r="P55" t="s">
        <v>66</v>
      </c>
      <c r="R55" t="s">
        <v>0</v>
      </c>
    </row>
    <row r="56" spans="1:18" x14ac:dyDescent="0.2">
      <c r="A56" t="s">
        <v>117</v>
      </c>
      <c r="B56" t="s">
        <v>45</v>
      </c>
      <c r="C56" t="s">
        <v>118</v>
      </c>
      <c r="D56" t="s">
        <v>119</v>
      </c>
      <c r="E56">
        <v>44951</v>
      </c>
      <c r="F56" t="s">
        <v>190</v>
      </c>
      <c r="I56" t="s">
        <v>191</v>
      </c>
      <c r="L56">
        <v>19772</v>
      </c>
      <c r="M56">
        <v>97570.5</v>
      </c>
      <c r="N56" t="s">
        <v>64</v>
      </c>
      <c r="O56" t="s">
        <v>92</v>
      </c>
      <c r="P56" t="s">
        <v>66</v>
      </c>
      <c r="R56" t="s">
        <v>0</v>
      </c>
    </row>
    <row r="57" spans="1:18" x14ac:dyDescent="0.2">
      <c r="A57" t="s">
        <v>117</v>
      </c>
      <c r="B57" t="s">
        <v>45</v>
      </c>
      <c r="C57" t="s">
        <v>118</v>
      </c>
      <c r="D57" t="s">
        <v>119</v>
      </c>
      <c r="E57">
        <v>44951</v>
      </c>
      <c r="F57" t="s">
        <v>192</v>
      </c>
      <c r="I57" t="s">
        <v>193</v>
      </c>
      <c r="J57" t="s">
        <v>193</v>
      </c>
      <c r="L57">
        <v>23635</v>
      </c>
      <c r="M57">
        <v>73935.5</v>
      </c>
      <c r="N57" t="s">
        <v>64</v>
      </c>
      <c r="O57" t="s">
        <v>92</v>
      </c>
      <c r="P57" t="s">
        <v>66</v>
      </c>
      <c r="R57" t="s">
        <v>0</v>
      </c>
    </row>
    <row r="58" spans="1:18" x14ac:dyDescent="0.2">
      <c r="A58" t="s">
        <v>117</v>
      </c>
      <c r="B58" t="s">
        <v>45</v>
      </c>
      <c r="C58" t="s">
        <v>118</v>
      </c>
      <c r="D58" t="s">
        <v>119</v>
      </c>
      <c r="E58">
        <v>44952</v>
      </c>
      <c r="F58" t="s">
        <v>194</v>
      </c>
      <c r="I58" t="s">
        <v>195</v>
      </c>
      <c r="J58" t="s">
        <v>195</v>
      </c>
      <c r="L58">
        <v>28850</v>
      </c>
      <c r="M58">
        <v>45085.5</v>
      </c>
      <c r="N58" t="s">
        <v>64</v>
      </c>
      <c r="O58" t="s">
        <v>92</v>
      </c>
      <c r="P58" t="s">
        <v>66</v>
      </c>
      <c r="R58" t="s">
        <v>0</v>
      </c>
    </row>
    <row r="59" spans="1:18" x14ac:dyDescent="0.2">
      <c r="A59" t="s">
        <v>117</v>
      </c>
      <c r="B59" t="s">
        <v>45</v>
      </c>
      <c r="C59" t="s">
        <v>118</v>
      </c>
      <c r="D59" t="s">
        <v>119</v>
      </c>
      <c r="E59">
        <v>44952</v>
      </c>
      <c r="F59" t="s">
        <v>196</v>
      </c>
      <c r="I59" t="s">
        <v>197</v>
      </c>
      <c r="J59" t="s">
        <v>197</v>
      </c>
      <c r="L59">
        <v>58393</v>
      </c>
      <c r="M59">
        <v>-13307.5</v>
      </c>
      <c r="N59" t="s">
        <v>64</v>
      </c>
      <c r="O59" t="s">
        <v>92</v>
      </c>
      <c r="P59" t="s">
        <v>66</v>
      </c>
      <c r="R59" t="s">
        <v>0</v>
      </c>
    </row>
    <row r="60" spans="1:18" x14ac:dyDescent="0.2">
      <c r="A60" t="s">
        <v>117</v>
      </c>
      <c r="B60" t="s">
        <v>45</v>
      </c>
      <c r="C60" t="s">
        <v>118</v>
      </c>
      <c r="D60" t="s">
        <v>119</v>
      </c>
      <c r="E60">
        <v>44952</v>
      </c>
      <c r="F60" t="s">
        <v>198</v>
      </c>
      <c r="I60" t="s">
        <v>199</v>
      </c>
      <c r="J60" t="s">
        <v>199</v>
      </c>
      <c r="L60">
        <v>11550</v>
      </c>
      <c r="M60">
        <v>-24857.5</v>
      </c>
      <c r="N60" t="s">
        <v>64</v>
      </c>
      <c r="O60" t="s">
        <v>92</v>
      </c>
      <c r="P60" t="s">
        <v>66</v>
      </c>
      <c r="R60" t="s">
        <v>0</v>
      </c>
    </row>
    <row r="61" spans="1:18" x14ac:dyDescent="0.2">
      <c r="A61" t="s">
        <v>117</v>
      </c>
      <c r="B61" t="s">
        <v>45</v>
      </c>
      <c r="C61" t="s">
        <v>118</v>
      </c>
      <c r="D61" t="s">
        <v>119</v>
      </c>
      <c r="E61">
        <v>44953</v>
      </c>
      <c r="F61" t="s">
        <v>200</v>
      </c>
      <c r="I61" t="s">
        <v>201</v>
      </c>
      <c r="J61" t="s">
        <v>201</v>
      </c>
      <c r="L61">
        <v>81583</v>
      </c>
      <c r="M61">
        <v>-106440.5</v>
      </c>
      <c r="N61" t="s">
        <v>64</v>
      </c>
      <c r="O61" t="s">
        <v>92</v>
      </c>
      <c r="P61" t="s">
        <v>66</v>
      </c>
      <c r="R61" t="s">
        <v>0</v>
      </c>
    </row>
    <row r="62" spans="1:18" x14ac:dyDescent="0.2">
      <c r="A62" t="s">
        <v>117</v>
      </c>
      <c r="B62" t="s">
        <v>45</v>
      </c>
      <c r="C62" t="s">
        <v>118</v>
      </c>
      <c r="D62" t="s">
        <v>119</v>
      </c>
      <c r="E62">
        <v>44953</v>
      </c>
      <c r="F62" t="s">
        <v>202</v>
      </c>
      <c r="I62" t="s">
        <v>203</v>
      </c>
      <c r="J62" t="s">
        <v>204</v>
      </c>
      <c r="K62">
        <v>81583</v>
      </c>
      <c r="M62">
        <v>-24857.5</v>
      </c>
      <c r="N62" t="s">
        <v>64</v>
      </c>
      <c r="O62" t="s">
        <v>92</v>
      </c>
      <c r="P62" t="s">
        <v>66</v>
      </c>
      <c r="R62" t="s">
        <v>0</v>
      </c>
    </row>
    <row r="63" spans="1:18" x14ac:dyDescent="0.2">
      <c r="A63" t="s">
        <v>117</v>
      </c>
      <c r="B63" t="s">
        <v>45</v>
      </c>
      <c r="C63" t="s">
        <v>118</v>
      </c>
      <c r="D63" t="s">
        <v>119</v>
      </c>
      <c r="E63">
        <v>44953</v>
      </c>
      <c r="F63" t="s">
        <v>205</v>
      </c>
      <c r="I63" t="s">
        <v>206</v>
      </c>
      <c r="J63" t="s">
        <v>206</v>
      </c>
      <c r="L63">
        <v>5586</v>
      </c>
      <c r="M63">
        <v>-30443.5</v>
      </c>
      <c r="N63" t="s">
        <v>64</v>
      </c>
      <c r="O63" t="s">
        <v>92</v>
      </c>
      <c r="P63" t="s">
        <v>66</v>
      </c>
      <c r="R63" t="s">
        <v>0</v>
      </c>
    </row>
    <row r="64" spans="1:18" x14ac:dyDescent="0.2">
      <c r="A64" t="s">
        <v>117</v>
      </c>
      <c r="B64" t="s">
        <v>45</v>
      </c>
      <c r="C64" t="s">
        <v>118</v>
      </c>
      <c r="D64" t="s">
        <v>119</v>
      </c>
      <c r="E64">
        <v>44953</v>
      </c>
      <c r="F64" t="s">
        <v>207</v>
      </c>
      <c r="I64" t="s">
        <v>208</v>
      </c>
      <c r="J64" t="s">
        <v>208</v>
      </c>
      <c r="K64">
        <v>81583</v>
      </c>
      <c r="M64">
        <v>51139.5</v>
      </c>
      <c r="N64" t="s">
        <v>64</v>
      </c>
      <c r="O64" t="s">
        <v>92</v>
      </c>
      <c r="P64" t="s">
        <v>66</v>
      </c>
      <c r="R64" t="s">
        <v>0</v>
      </c>
    </row>
    <row r="65" spans="1:18" x14ac:dyDescent="0.2">
      <c r="A65" t="s">
        <v>117</v>
      </c>
      <c r="B65" t="s">
        <v>45</v>
      </c>
      <c r="C65" t="s">
        <v>118</v>
      </c>
      <c r="D65" t="s">
        <v>119</v>
      </c>
      <c r="E65">
        <v>44954</v>
      </c>
      <c r="F65" t="s">
        <v>209</v>
      </c>
      <c r="I65" t="s">
        <v>210</v>
      </c>
      <c r="J65" t="s">
        <v>210</v>
      </c>
      <c r="L65">
        <v>16813.75</v>
      </c>
      <c r="M65">
        <v>34325.75</v>
      </c>
      <c r="N65" t="s">
        <v>64</v>
      </c>
      <c r="O65" t="s">
        <v>65</v>
      </c>
      <c r="P65" t="s">
        <v>66</v>
      </c>
      <c r="R65" t="s">
        <v>0</v>
      </c>
    </row>
    <row r="66" spans="1:18" x14ac:dyDescent="0.2">
      <c r="A66" t="s">
        <v>117</v>
      </c>
      <c r="B66" t="s">
        <v>45</v>
      </c>
      <c r="C66" t="s">
        <v>118</v>
      </c>
      <c r="D66" t="s">
        <v>119</v>
      </c>
      <c r="E66">
        <v>44956</v>
      </c>
      <c r="F66" t="s">
        <v>211</v>
      </c>
      <c r="I66" t="s">
        <v>212</v>
      </c>
      <c r="J66" t="s">
        <v>212</v>
      </c>
      <c r="L66">
        <v>5000</v>
      </c>
      <c r="M66">
        <v>29325.75</v>
      </c>
      <c r="N66" t="s">
        <v>64</v>
      </c>
      <c r="O66" t="s">
        <v>92</v>
      </c>
      <c r="P66" t="s">
        <v>66</v>
      </c>
      <c r="R66" t="s">
        <v>0</v>
      </c>
    </row>
    <row r="67" spans="1:18" x14ac:dyDescent="0.2">
      <c r="A67" t="s">
        <v>117</v>
      </c>
      <c r="B67" t="s">
        <v>45</v>
      </c>
      <c r="C67" t="s">
        <v>118</v>
      </c>
      <c r="D67" t="s">
        <v>119</v>
      </c>
      <c r="E67">
        <v>44957</v>
      </c>
      <c r="F67" t="s">
        <v>213</v>
      </c>
      <c r="I67" t="s">
        <v>214</v>
      </c>
      <c r="J67" t="s">
        <v>214</v>
      </c>
      <c r="L67">
        <v>5000</v>
      </c>
      <c r="M67">
        <v>24325.75</v>
      </c>
      <c r="N67" t="s">
        <v>64</v>
      </c>
      <c r="O67" t="s">
        <v>92</v>
      </c>
      <c r="P67" t="s">
        <v>66</v>
      </c>
      <c r="R67" t="s">
        <v>0</v>
      </c>
    </row>
    <row r="68" spans="1:18" x14ac:dyDescent="0.2">
      <c r="A68" t="s">
        <v>117</v>
      </c>
      <c r="B68" t="s">
        <v>45</v>
      </c>
      <c r="C68" t="s">
        <v>118</v>
      </c>
      <c r="D68" t="s">
        <v>119</v>
      </c>
      <c r="E68">
        <v>44957</v>
      </c>
      <c r="F68" t="s">
        <v>215</v>
      </c>
      <c r="I68" t="s">
        <v>216</v>
      </c>
      <c r="J68" t="s">
        <v>217</v>
      </c>
      <c r="K68">
        <v>10000</v>
      </c>
      <c r="M68">
        <v>34325.75</v>
      </c>
      <c r="N68" t="s">
        <v>64</v>
      </c>
      <c r="O68" t="s">
        <v>92</v>
      </c>
      <c r="P68" t="s">
        <v>66</v>
      </c>
      <c r="R68" t="s">
        <v>0</v>
      </c>
    </row>
    <row r="69" spans="1:18" x14ac:dyDescent="0.2">
      <c r="A69" t="s">
        <v>117</v>
      </c>
      <c r="B69" t="s">
        <v>45</v>
      </c>
      <c r="C69" t="s">
        <v>118</v>
      </c>
      <c r="D69" t="s">
        <v>119</v>
      </c>
      <c r="E69">
        <v>44957</v>
      </c>
      <c r="F69" t="s">
        <v>218</v>
      </c>
      <c r="I69" t="s">
        <v>143</v>
      </c>
      <c r="J69" t="s">
        <v>143</v>
      </c>
      <c r="K69">
        <v>5250</v>
      </c>
      <c r="M69">
        <v>39575.75</v>
      </c>
      <c r="N69" t="s">
        <v>64</v>
      </c>
      <c r="O69" t="s">
        <v>65</v>
      </c>
      <c r="P69" t="s">
        <v>66</v>
      </c>
      <c r="R69" t="s">
        <v>0</v>
      </c>
    </row>
    <row r="70" spans="1:18" x14ac:dyDescent="0.2">
      <c r="A70" t="s">
        <v>117</v>
      </c>
      <c r="B70" t="s">
        <v>45</v>
      </c>
      <c r="C70" t="s">
        <v>118</v>
      </c>
      <c r="D70" t="s">
        <v>119</v>
      </c>
      <c r="E70">
        <v>44957</v>
      </c>
      <c r="F70" t="s">
        <v>219</v>
      </c>
      <c r="I70" t="s">
        <v>220</v>
      </c>
      <c r="J70" t="s">
        <v>220</v>
      </c>
      <c r="L70">
        <v>5500</v>
      </c>
      <c r="M70">
        <v>34075.75</v>
      </c>
      <c r="N70" t="s">
        <v>64</v>
      </c>
      <c r="O70" t="s">
        <v>92</v>
      </c>
      <c r="P70" t="s">
        <v>66</v>
      </c>
      <c r="R70" t="s">
        <v>0</v>
      </c>
    </row>
    <row r="71" spans="1:18" x14ac:dyDescent="0.2">
      <c r="A71" t="s">
        <v>117</v>
      </c>
      <c r="B71" t="s">
        <v>45</v>
      </c>
      <c r="C71" t="s">
        <v>118</v>
      </c>
      <c r="D71" t="s">
        <v>119</v>
      </c>
      <c r="E71">
        <v>44957</v>
      </c>
      <c r="F71" t="s">
        <v>221</v>
      </c>
      <c r="I71" t="s">
        <v>222</v>
      </c>
      <c r="J71" t="s">
        <v>214</v>
      </c>
      <c r="K71">
        <v>5000</v>
      </c>
      <c r="M71">
        <v>39075.75</v>
      </c>
      <c r="N71" t="s">
        <v>64</v>
      </c>
      <c r="O71" t="s">
        <v>92</v>
      </c>
      <c r="P71" t="s">
        <v>66</v>
      </c>
      <c r="R71" t="s">
        <v>0</v>
      </c>
    </row>
    <row r="72" spans="1:18" x14ac:dyDescent="0.2">
      <c r="A72" t="s">
        <v>117</v>
      </c>
      <c r="B72" t="s">
        <v>45</v>
      </c>
      <c r="C72" t="s">
        <v>118</v>
      </c>
      <c r="D72" t="s">
        <v>119</v>
      </c>
      <c r="E72">
        <v>44957</v>
      </c>
      <c r="F72" t="s">
        <v>223</v>
      </c>
      <c r="I72" t="s">
        <v>224</v>
      </c>
      <c r="J72" t="s">
        <v>224</v>
      </c>
      <c r="L72">
        <v>5000</v>
      </c>
      <c r="M72">
        <v>34075.75</v>
      </c>
      <c r="N72" t="s">
        <v>64</v>
      </c>
      <c r="O72" t="s">
        <v>92</v>
      </c>
      <c r="P72" t="s">
        <v>66</v>
      </c>
      <c r="R72" t="s">
        <v>0</v>
      </c>
    </row>
    <row r="73" spans="1:18" x14ac:dyDescent="0.2">
      <c r="A73" t="s">
        <v>117</v>
      </c>
      <c r="B73" t="s">
        <v>45</v>
      </c>
      <c r="C73" t="s">
        <v>118</v>
      </c>
      <c r="D73" t="s">
        <v>119</v>
      </c>
      <c r="E73">
        <v>44957</v>
      </c>
      <c r="F73" t="s">
        <v>225</v>
      </c>
      <c r="I73" t="s">
        <v>226</v>
      </c>
      <c r="J73" t="s">
        <v>226</v>
      </c>
      <c r="L73">
        <v>5000</v>
      </c>
      <c r="M73">
        <v>29075.75</v>
      </c>
      <c r="N73" t="s">
        <v>64</v>
      </c>
      <c r="O73" t="s">
        <v>92</v>
      </c>
      <c r="P73" t="s">
        <v>66</v>
      </c>
      <c r="R73" t="s">
        <v>0</v>
      </c>
    </row>
    <row r="74" spans="1:18" x14ac:dyDescent="0.2">
      <c r="A74" t="s">
        <v>117</v>
      </c>
      <c r="B74" t="s">
        <v>45</v>
      </c>
      <c r="C74" t="s">
        <v>118</v>
      </c>
      <c r="D74" t="s">
        <v>119</v>
      </c>
      <c r="E74">
        <v>44957</v>
      </c>
      <c r="F74" t="s">
        <v>227</v>
      </c>
      <c r="I74" t="s">
        <v>228</v>
      </c>
      <c r="J74" t="s">
        <v>228</v>
      </c>
      <c r="K74">
        <v>6826</v>
      </c>
      <c r="M74">
        <v>35901.75</v>
      </c>
      <c r="N74" t="s">
        <v>64</v>
      </c>
      <c r="O74" t="s">
        <v>65</v>
      </c>
      <c r="P74" t="s">
        <v>66</v>
      </c>
      <c r="R74" t="s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yracuseOfficeCustomData>{"createMode":"plain_doc","forceRefresh":"0"}</SyracuseOfficeCustomData>
</file>

<file path=customXml/itemProps1.xml><?xml version="1.0" encoding="utf-8"?>
<ds:datastoreItem xmlns:ds="http://schemas.openxmlformats.org/officeDocument/2006/customXml" ds:itemID="{1372E102-5AEF-48F4-A68E-2E4F7A32D5A4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BBCustomGeneralLedgerV</vt:lpstr>
      <vt:lpstr>Input</vt:lpstr>
      <vt:lpstr>Output</vt:lpstr>
    </vt:vector>
  </TitlesOfParts>
  <Company>NetSuite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NetSuite Reports</dc:creator>
  <cp:lastModifiedBy>Manoj Kumar  | HLB HAMT</cp:lastModifiedBy>
  <dcterms:created xsi:type="dcterms:W3CDTF">2024-10-16T07:24:02Z</dcterms:created>
  <dcterms:modified xsi:type="dcterms:W3CDTF">2025-06-18T08:10:08Z</dcterms:modified>
</cp:coreProperties>
</file>